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1D0A29B9-C8D9-419E-9A0E-906DA8A91FDC}" xr6:coauthVersionLast="45" xr6:coauthVersionMax="45" xr10:uidLastSave="{00000000-0000-0000-0000-000000000000}"/>
  <bookViews>
    <workbookView xWindow="1060" yWindow="1060" windowWidth="14400" windowHeight="7360" activeTab="1" xr2:uid="{526CB2F0-186A-40E4-924F-6E5C3F841043}"/>
  </bookViews>
  <sheets>
    <sheet name="Eeshani ma'am" sheetId="1" r:id="rId1"/>
    <sheet name="Self practice" sheetId="2" r:id="rId2"/>
    <sheet name="Re- self-practic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13" i="1" l="1"/>
  <c r="X20" i="1"/>
  <c r="X19" i="1"/>
  <c r="X18" i="1"/>
  <c r="X17" i="1"/>
  <c r="X14" i="1"/>
  <c r="X13" i="1"/>
  <c r="X12" i="1"/>
  <c r="K8" i="1" l="1"/>
  <c r="K7" i="1"/>
  <c r="J2" i="1"/>
  <c r="J1" i="1"/>
</calcChain>
</file>

<file path=xl/sharedStrings.xml><?xml version="1.0" encoding="utf-8"?>
<sst xmlns="http://schemas.openxmlformats.org/spreadsheetml/2006/main" count="118" uniqueCount="112">
  <si>
    <t>Programming Essential</t>
  </si>
  <si>
    <t>Objects of Excel</t>
  </si>
  <si>
    <t>User Interface</t>
  </si>
  <si>
    <t>dashboard (Excel/VBA)</t>
  </si>
  <si>
    <t>VBE</t>
  </si>
  <si>
    <t>Visual basic Editor</t>
  </si>
  <si>
    <t>Excel --&gt; VBE</t>
  </si>
  <si>
    <t>Alt +f11</t>
  </si>
  <si>
    <t>BOOK1</t>
  </si>
  <si>
    <t>Sheets</t>
  </si>
  <si>
    <t>ThisWorkbook</t>
  </si>
  <si>
    <t>Module</t>
  </si>
  <si>
    <t>When we record a macro</t>
  </si>
  <si>
    <t>VBA</t>
  </si>
  <si>
    <t>Visual Basic for Application</t>
  </si>
  <si>
    <t>Microsoft Application</t>
  </si>
  <si>
    <t>Project explorer</t>
  </si>
  <si>
    <t>Code Sheet</t>
  </si>
  <si>
    <t>[ ]</t>
  </si>
  <si>
    <t>sumif</t>
  </si>
  <si>
    <t>[sum_range]</t>
  </si>
  <si>
    <t xml:space="preserve">optional </t>
  </si>
  <si>
    <t>default</t>
  </si>
  <si>
    <t>range</t>
  </si>
  <si>
    <t>criteria</t>
  </si>
  <si>
    <t>Total sales for all sales&gt;30k</t>
  </si>
  <si>
    <t>sales</t>
  </si>
  <si>
    <t>default --&gt; range</t>
  </si>
  <si>
    <t>total sales for all Manager</t>
  </si>
  <si>
    <t>Design</t>
  </si>
  <si>
    <t>and</t>
  </si>
  <si>
    <t>&amp;</t>
  </si>
  <si>
    <t>ampersand</t>
  </si>
  <si>
    <t>concat</t>
  </si>
  <si>
    <t>text</t>
  </si>
  <si>
    <t>LEFT</t>
  </si>
  <si>
    <t>RIGHT</t>
  </si>
  <si>
    <t>left(variable_ph,3)</t>
  </si>
  <si>
    <t>MID</t>
  </si>
  <si>
    <t>MID(23415,1,1)</t>
  </si>
  <si>
    <t>MID(23415,2,1)</t>
  </si>
  <si>
    <t>MID(23415,3,1)</t>
  </si>
  <si>
    <t>MID(23415,4,1)</t>
  </si>
  <si>
    <t>MID(23415,5,1)</t>
  </si>
  <si>
    <t>4 TIMES</t>
  </si>
  <si>
    <t>X=X+10</t>
  </si>
  <si>
    <t>TOTAL=TOTAL + MID()</t>
  </si>
  <si>
    <r>
      <t xml:space="preserve">TEXT, </t>
    </r>
    <r>
      <rPr>
        <b/>
        <sz val="11"/>
        <color theme="1"/>
        <rFont val="Calibri"/>
        <family val="2"/>
        <scheme val="minor"/>
      </rPr>
      <t>START POS</t>
    </r>
    <r>
      <rPr>
        <sz val="11"/>
        <color theme="1"/>
        <rFont val="Calibri"/>
        <family val="2"/>
        <scheme val="minor"/>
      </rPr>
      <t>, NUM CHAR)</t>
    </r>
  </si>
  <si>
    <t>left</t>
  </si>
  <si>
    <t>right</t>
  </si>
  <si>
    <t>mid</t>
  </si>
  <si>
    <t>Excel</t>
  </si>
  <si>
    <t>SQL</t>
  </si>
  <si>
    <t>R</t>
  </si>
  <si>
    <t>Python</t>
  </si>
  <si>
    <t>A</t>
  </si>
  <si>
    <t>B</t>
  </si>
  <si>
    <t>CD</t>
  </si>
  <si>
    <t>'For i=1 to 3</t>
  </si>
  <si>
    <t xml:space="preserve">    'For j=1 to 5</t>
  </si>
  <si>
    <t xml:space="preserve">        'lines to repeat for j loop</t>
  </si>
  <si>
    <t xml:space="preserve">    'Next j</t>
  </si>
  <si>
    <t>'Next i</t>
  </si>
  <si>
    <t>i</t>
  </si>
  <si>
    <t>j</t>
  </si>
  <si>
    <t>n/2</t>
  </si>
  <si>
    <t>1 to 500</t>
  </si>
  <si>
    <t>extraction , raise power, add</t>
  </si>
  <si>
    <t>len</t>
  </si>
  <si>
    <t>For number = 1 To 500</t>
  </si>
  <si>
    <t>total = 0</t>
  </si>
  <si>
    <t xml:space="preserve">    k = Len(CStr(number))</t>
  </si>
  <si>
    <t xml:space="preserve">    For i = 1 To k</t>
  </si>
  <si>
    <t xml:space="preserve">        total = total + Mid(number, i, 1) ^ k</t>
  </si>
  <si>
    <t xml:space="preserve">    Next i</t>
  </si>
  <si>
    <t xml:space="preserve">    If number = total Then</t>
  </si>
  <si>
    <t xml:space="preserve">        final = final &amp; number &amp; vbCrLf</t>
  </si>
  <si>
    <t xml:space="preserve">    End If</t>
  </si>
  <si>
    <t>Next number</t>
  </si>
  <si>
    <t>MsgBox final</t>
  </si>
  <si>
    <t>Sub factorial()</t>
  </si>
  <si>
    <t>Dim n As Long, i As Long, fact As Long</t>
  </si>
  <si>
    <t>fact = 1</t>
  </si>
  <si>
    <t>n = InputBox("Enter the number")</t>
  </si>
  <si>
    <t xml:space="preserve">    For i = 1 To n</t>
  </si>
  <si>
    <t xml:space="preserve">        fact = fact * i</t>
  </si>
  <si>
    <t>Next i</t>
  </si>
  <si>
    <t>MsgBox fact</t>
  </si>
  <si>
    <t>End Sub</t>
  </si>
  <si>
    <t>'e.g.</t>
  </si>
  <si>
    <t>'Word is ‘Professional’</t>
  </si>
  <si>
    <t>'Vowel = 5, consonants=7</t>
  </si>
  <si>
    <t>Sub number_of_vowels()</t>
  </si>
  <si>
    <t>Dim text As String, i As Integer, vowels As Integer, consonants As Integer</t>
  </si>
  <si>
    <t>Dim space As Integer</t>
  </si>
  <si>
    <t>text = InputBox("Enter the text")</t>
  </si>
  <si>
    <t xml:space="preserve">    For i = 1 To Len(text)</t>
  </si>
  <si>
    <t xml:space="preserve">    Select Case LCase(Mid(text, i, 1))</t>
  </si>
  <si>
    <t xml:space="preserve">    Case "a", "e", "i", "o", "u"</t>
  </si>
  <si>
    <t xml:space="preserve">        'if lcase (mid(text,i,1) = "a" or lcase (mid(text,i,1)) = "a"</t>
  </si>
  <si>
    <t xml:space="preserve">    vowels = vowels + 1</t>
  </si>
  <si>
    <t>Case " "</t>
  </si>
  <si>
    <t xml:space="preserve">    space = space + 1</t>
  </si>
  <si>
    <t xml:space="preserve">        Case Else</t>
  </si>
  <si>
    <t xml:space="preserve">            consonants = consonants + 1</t>
  </si>
  <si>
    <t xml:space="preserve">    End Select</t>
  </si>
  <si>
    <t>MsgBox "vowels is equal to" &amp; Str(vowels)</t>
  </si>
  <si>
    <t>MsgBox "consonants is equal to" &amp; Len(text) - space - vowels</t>
  </si>
  <si>
    <t>1. Calculate the factorial of any given number.</t>
  </si>
  <si>
    <t>2. Write a program to enter a text and calculate the number of vowels, consonants and spaces.</t>
  </si>
  <si>
    <t>Press:- alt+f11</t>
  </si>
  <si>
    <t>SHEET:- Self practice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</si>
</sst>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47" Type="http://schemas.openxmlformats.org/officeDocument/2006/relationships/customXml" Target="../ink/ink24.xml"/><Relationship Id="rId50" Type="http://schemas.openxmlformats.org/officeDocument/2006/relationships/image" Target="../media/image25.png"/><Relationship Id="rId55" Type="http://schemas.openxmlformats.org/officeDocument/2006/relationships/customXml" Target="../ink/ink28.xml"/><Relationship Id="rId7" Type="http://schemas.openxmlformats.org/officeDocument/2006/relationships/customXml" Target="../ink/ink4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customXml" Target="../ink/ink15.xml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customXml" Target="../ink/ink19.xml"/><Relationship Id="rId40" Type="http://schemas.openxmlformats.org/officeDocument/2006/relationships/image" Target="../media/image20.png"/><Relationship Id="rId45" Type="http://schemas.openxmlformats.org/officeDocument/2006/relationships/customXml" Target="../ink/ink23.xml"/><Relationship Id="rId53" Type="http://schemas.openxmlformats.org/officeDocument/2006/relationships/customXml" Target="../ink/ink27.xml"/><Relationship Id="rId58" Type="http://schemas.openxmlformats.org/officeDocument/2006/relationships/image" Target="../media/image29.png"/><Relationship Id="rId5" Type="http://schemas.openxmlformats.org/officeDocument/2006/relationships/customXml" Target="../ink/ink3.xml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8" Type="http://schemas.openxmlformats.org/officeDocument/2006/relationships/image" Target="../media/image4.png"/><Relationship Id="rId51" Type="http://schemas.openxmlformats.org/officeDocument/2006/relationships/customXml" Target="../ink/ink26.xml"/><Relationship Id="rId3" Type="http://schemas.openxmlformats.org/officeDocument/2006/relationships/customXml" Target="../ink/ink2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59" Type="http://schemas.openxmlformats.org/officeDocument/2006/relationships/customXml" Target="../ink/ink30.xml"/><Relationship Id="rId20" Type="http://schemas.openxmlformats.org/officeDocument/2006/relationships/image" Target="../media/image10.png"/><Relationship Id="rId41" Type="http://schemas.openxmlformats.org/officeDocument/2006/relationships/customXml" Target="../ink/ink21.xml"/><Relationship Id="rId54" Type="http://schemas.openxmlformats.org/officeDocument/2006/relationships/image" Target="../media/image27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10" Type="http://schemas.openxmlformats.org/officeDocument/2006/relationships/image" Target="../media/image5.png"/><Relationship Id="rId31" Type="http://schemas.openxmlformats.org/officeDocument/2006/relationships/customXml" Target="../ink/ink16.xm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177689</xdr:colOff>
      <xdr:row>5</xdr:row>
      <xdr:rowOff>31975</xdr:rowOff>
    </xdr:from>
    <xdr:to>
      <xdr:col>20</xdr:col>
      <xdr:colOff>322049</xdr:colOff>
      <xdr:row>9</xdr:row>
      <xdr:rowOff>29332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B12C92-AE96-4DB0-AC02-41BEF8A60305}"/>
                </a:ext>
              </a:extLst>
            </xdr14:cNvPr>
            <xdr14:cNvContentPartPr/>
          </xdr14:nvContentPartPr>
          <xdr14:nvPr macro=""/>
          <xdr14:xfrm>
            <a:off x="13029331" y="919080"/>
            <a:ext cx="144360" cy="70704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0B12C92-AE96-4DB0-AC02-41BEF8A6030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020331" y="910080"/>
              <a:ext cx="162000" cy="72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407052</xdr:colOff>
      <xdr:row>5</xdr:row>
      <xdr:rowOff>17215</xdr:rowOff>
    </xdr:from>
    <xdr:to>
      <xdr:col>18</xdr:col>
      <xdr:colOff>548172</xdr:colOff>
      <xdr:row>8</xdr:row>
      <xdr:rowOff>116033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D12261C3-1A20-4533-A19A-311C7A5913DB}"/>
                </a:ext>
              </a:extLst>
            </xdr14:cNvPr>
            <xdr14:cNvContentPartPr/>
          </xdr14:nvContentPartPr>
          <xdr14:nvPr macro=""/>
          <xdr14:xfrm>
            <a:off x="12057691" y="904320"/>
            <a:ext cx="141120" cy="63108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D12261C3-1A20-4533-A19A-311C7A5913D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2049051" y="895325"/>
              <a:ext cx="158760" cy="6487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342569</xdr:colOff>
      <xdr:row>5</xdr:row>
      <xdr:rowOff>137455</xdr:rowOff>
    </xdr:from>
    <xdr:to>
      <xdr:col>20</xdr:col>
      <xdr:colOff>583049</xdr:colOff>
      <xdr:row>7</xdr:row>
      <xdr:rowOff>40014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D804E158-E66D-464F-BF4B-77031F5A9812}"/>
                </a:ext>
              </a:extLst>
            </xdr14:cNvPr>
            <xdr14:cNvContentPartPr/>
          </xdr14:nvContentPartPr>
          <xdr14:nvPr macro=""/>
          <xdr14:xfrm>
            <a:off x="13194211" y="1024560"/>
            <a:ext cx="240480" cy="2574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D804E158-E66D-464F-BF4B-77031F5A9812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185211" y="1015560"/>
              <a:ext cx="25812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103169</xdr:colOff>
      <xdr:row>1</xdr:row>
      <xdr:rowOff>169979</xdr:rowOff>
    </xdr:from>
    <xdr:to>
      <xdr:col>22</xdr:col>
      <xdr:colOff>234166</xdr:colOff>
      <xdr:row>4</xdr:row>
      <xdr:rowOff>44517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B9205518-2097-4125-B621-6B9C8BE728E4}"/>
                </a:ext>
              </a:extLst>
            </xdr14:cNvPr>
            <xdr14:cNvContentPartPr/>
          </xdr14:nvContentPartPr>
          <xdr14:nvPr macro=""/>
          <xdr14:xfrm>
            <a:off x="12954811" y="347400"/>
            <a:ext cx="1332000" cy="406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B9205518-2097-4125-B621-6B9C8BE728E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2945809" y="338400"/>
              <a:ext cx="1349645" cy="42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128369</xdr:colOff>
      <xdr:row>3</xdr:row>
      <xdr:rowOff>13857</xdr:rowOff>
    </xdr:from>
    <xdr:to>
      <xdr:col>22</xdr:col>
      <xdr:colOff>306166</xdr:colOff>
      <xdr:row>3</xdr:row>
      <xdr:rowOff>70017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FFBDB0D8-56DA-40F1-859D-3E82ED29FF9F}"/>
                </a:ext>
              </a:extLst>
            </xdr14:cNvPr>
            <xdr14:cNvContentPartPr/>
          </xdr14:nvContentPartPr>
          <xdr14:nvPr macro=""/>
          <xdr14:xfrm>
            <a:off x="12980011" y="546120"/>
            <a:ext cx="1378800" cy="561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FFBDB0D8-56DA-40F1-859D-3E82ED29FF9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2971371" y="537480"/>
              <a:ext cx="1396440" cy="7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155009</xdr:colOff>
      <xdr:row>2</xdr:row>
      <xdr:rowOff>27838</xdr:rowOff>
    </xdr:from>
    <xdr:to>
      <xdr:col>20</xdr:col>
      <xdr:colOff>165449</xdr:colOff>
      <xdr:row>2</xdr:row>
      <xdr:rowOff>116398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F15B595-6E92-43BF-A1C5-2ECA2E6CD992}"/>
                </a:ext>
              </a:extLst>
            </xdr14:cNvPr>
            <xdr14:cNvContentPartPr/>
          </xdr14:nvContentPartPr>
          <xdr14:nvPr macro=""/>
          <xdr14:xfrm>
            <a:off x="13006651" y="382680"/>
            <a:ext cx="10440" cy="885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F15B595-6E92-43BF-A1C5-2ECA2E6CD99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2997651" y="373680"/>
              <a:ext cx="28080" cy="10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581271</xdr:colOff>
      <xdr:row>5</xdr:row>
      <xdr:rowOff>62215</xdr:rowOff>
    </xdr:from>
    <xdr:to>
      <xdr:col>20</xdr:col>
      <xdr:colOff>148169</xdr:colOff>
      <xdr:row>9</xdr:row>
      <xdr:rowOff>44092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A00C9782-8921-44E7-834D-F640776ED780}"/>
                </a:ext>
              </a:extLst>
            </xdr14:cNvPr>
            <xdr14:cNvContentPartPr/>
          </xdr14:nvContentPartPr>
          <xdr14:nvPr macro=""/>
          <xdr14:xfrm>
            <a:off x="12832411" y="949320"/>
            <a:ext cx="167400" cy="6915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A00C9782-8921-44E7-834D-F640776ED78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2823752" y="940325"/>
              <a:ext cx="185078" cy="7091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422828</xdr:colOff>
      <xdr:row>2</xdr:row>
      <xdr:rowOff>132958</xdr:rowOff>
    </xdr:from>
    <xdr:to>
      <xdr:col>21</xdr:col>
      <xdr:colOff>516068</xdr:colOff>
      <xdr:row>3</xdr:row>
      <xdr:rowOff>41217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12191769-A1D8-40BB-8797-F7F0AF996462}"/>
                </a:ext>
              </a:extLst>
            </xdr14:cNvPr>
            <xdr14:cNvContentPartPr/>
          </xdr14:nvContentPartPr>
          <xdr14:nvPr macro=""/>
          <xdr14:xfrm>
            <a:off x="13874971" y="487800"/>
            <a:ext cx="93240" cy="856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12191769-A1D8-40BB-8797-F7F0AF996462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3866331" y="479160"/>
              <a:ext cx="110880" cy="10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295028</xdr:colOff>
      <xdr:row>5</xdr:row>
      <xdr:rowOff>36655</xdr:rowOff>
    </xdr:from>
    <xdr:to>
      <xdr:col>21</xdr:col>
      <xdr:colOff>300788</xdr:colOff>
      <xdr:row>5</xdr:row>
      <xdr:rowOff>113335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3083E9B3-B0AF-4585-99DF-7275BA6362FB}"/>
                </a:ext>
              </a:extLst>
            </xdr14:cNvPr>
            <xdr14:cNvContentPartPr/>
          </xdr14:nvContentPartPr>
          <xdr14:nvPr macro=""/>
          <xdr14:xfrm>
            <a:off x="13747171" y="923760"/>
            <a:ext cx="5760" cy="7668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3083E9B3-B0AF-4585-99DF-7275BA6362F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3738171" y="915120"/>
              <a:ext cx="2340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262628</xdr:colOff>
      <xdr:row>6</xdr:row>
      <xdr:rowOff>66595</xdr:rowOff>
    </xdr:from>
    <xdr:to>
      <xdr:col>21</xdr:col>
      <xdr:colOff>351188</xdr:colOff>
      <xdr:row>6</xdr:row>
      <xdr:rowOff>154795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4F91E93D-8BD5-4D86-AEAB-952BCBE4CAAA}"/>
                </a:ext>
              </a:extLst>
            </xdr14:cNvPr>
            <xdr14:cNvContentPartPr/>
          </xdr14:nvContentPartPr>
          <xdr14:nvPr macro=""/>
          <xdr14:xfrm>
            <a:off x="13714771" y="1131120"/>
            <a:ext cx="88560" cy="8820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4F91E93D-8BD5-4D86-AEAB-952BCBE4CAA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706131" y="1122120"/>
              <a:ext cx="106200" cy="10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181628</xdr:colOff>
      <xdr:row>7</xdr:row>
      <xdr:rowOff>80694</xdr:rowOff>
    </xdr:from>
    <xdr:to>
      <xdr:col>21</xdr:col>
      <xdr:colOff>310148</xdr:colOff>
      <xdr:row>9</xdr:row>
      <xdr:rowOff>39772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3A45C762-D67B-4DA7-B6D9-9A70A8FF9B5E}"/>
                </a:ext>
              </a:extLst>
            </xdr14:cNvPr>
            <xdr14:cNvContentPartPr/>
          </xdr14:nvContentPartPr>
          <xdr14:nvPr macro=""/>
          <xdr14:xfrm>
            <a:off x="13633771" y="1322640"/>
            <a:ext cx="128520" cy="31392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3A45C762-D67B-4DA7-B6D9-9A70A8FF9B5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3624771" y="1313990"/>
              <a:ext cx="146160" cy="3315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275566</xdr:colOff>
      <xdr:row>2</xdr:row>
      <xdr:rowOff>99118</xdr:rowOff>
    </xdr:from>
    <xdr:to>
      <xdr:col>22</xdr:col>
      <xdr:colOff>354046</xdr:colOff>
      <xdr:row>3</xdr:row>
      <xdr:rowOff>100617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51FBB475-2C18-4291-9B65-7C1CAFB9A8C3}"/>
                </a:ext>
              </a:extLst>
            </xdr14:cNvPr>
            <xdr14:cNvContentPartPr/>
          </xdr14:nvContentPartPr>
          <xdr14:nvPr macro=""/>
          <xdr14:xfrm>
            <a:off x="14328211" y="453960"/>
            <a:ext cx="78480" cy="17892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51FBB475-2C18-4291-9B65-7C1CAFB9A8C3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4319571" y="444960"/>
              <a:ext cx="96120" cy="19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210406</xdr:colOff>
      <xdr:row>5</xdr:row>
      <xdr:rowOff>74815</xdr:rowOff>
    </xdr:from>
    <xdr:to>
      <xdr:col>22</xdr:col>
      <xdr:colOff>327046</xdr:colOff>
      <xdr:row>6</xdr:row>
      <xdr:rowOff>156955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64998210-8266-4878-B7FF-C80ED0CC8A4F}"/>
                </a:ext>
              </a:extLst>
            </xdr14:cNvPr>
            <xdr14:cNvContentPartPr/>
          </xdr14:nvContentPartPr>
          <xdr14:nvPr macro=""/>
          <xdr14:xfrm>
            <a:off x="14263051" y="961920"/>
            <a:ext cx="116640" cy="2595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64998210-8266-4878-B7FF-C80ED0CC8A4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4254051" y="953292"/>
              <a:ext cx="134280" cy="2771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305806</xdr:colOff>
      <xdr:row>7</xdr:row>
      <xdr:rowOff>78894</xdr:rowOff>
    </xdr:from>
    <xdr:to>
      <xdr:col>22</xdr:col>
      <xdr:colOff>352246</xdr:colOff>
      <xdr:row>8</xdr:row>
      <xdr:rowOff>70673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1A566570-BC6C-4779-84D0-AEB77A175B45}"/>
                </a:ext>
              </a:extLst>
            </xdr14:cNvPr>
            <xdr14:cNvContentPartPr/>
          </xdr14:nvContentPartPr>
          <xdr14:nvPr macro=""/>
          <xdr14:xfrm>
            <a:off x="14358451" y="1320840"/>
            <a:ext cx="46440" cy="169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1A566570-BC6C-4779-84D0-AEB77A175B45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4349451" y="1312200"/>
              <a:ext cx="64080" cy="18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440194</xdr:colOff>
      <xdr:row>2</xdr:row>
      <xdr:rowOff>17398</xdr:rowOff>
    </xdr:from>
    <xdr:to>
      <xdr:col>24</xdr:col>
      <xdr:colOff>567972</xdr:colOff>
      <xdr:row>4</xdr:row>
      <xdr:rowOff>25797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3C2B6DA3-30B0-4926-AA3E-D5BDD9744438}"/>
                </a:ext>
              </a:extLst>
            </xdr14:cNvPr>
            <xdr14:cNvContentPartPr/>
          </xdr14:nvContentPartPr>
          <xdr14:nvPr macro=""/>
          <xdr14:xfrm>
            <a:off x="15093340" y="372240"/>
            <a:ext cx="728280" cy="3632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3C2B6DA3-30B0-4926-AA3E-D5BDD974443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084340" y="363600"/>
              <a:ext cx="745920" cy="38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230652</xdr:colOff>
      <xdr:row>4</xdr:row>
      <xdr:rowOff>85917</xdr:rowOff>
    </xdr:from>
    <xdr:to>
      <xdr:col>24</xdr:col>
      <xdr:colOff>311652</xdr:colOff>
      <xdr:row>4</xdr:row>
      <xdr:rowOff>135597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20F6F8AE-D377-44F6-9B50-0044C05BD374}"/>
                </a:ext>
              </a:extLst>
            </xdr14:cNvPr>
            <xdr14:cNvContentPartPr/>
          </xdr14:nvContentPartPr>
          <xdr14:nvPr macro=""/>
          <xdr14:xfrm>
            <a:off x="15484300" y="795600"/>
            <a:ext cx="81000" cy="4968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20F6F8AE-D377-44F6-9B50-0044C05BD37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5475660" y="786600"/>
              <a:ext cx="9864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232092</xdr:colOff>
      <xdr:row>5</xdr:row>
      <xdr:rowOff>38815</xdr:rowOff>
    </xdr:from>
    <xdr:to>
      <xdr:col>25</xdr:col>
      <xdr:colOff>320991</xdr:colOff>
      <xdr:row>6</xdr:row>
      <xdr:rowOff>6475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48EA9CE4-70D4-4D32-A9B9-01CDCD6879CC}"/>
                </a:ext>
              </a:extLst>
            </xdr14:cNvPr>
            <xdr14:cNvContentPartPr/>
          </xdr14:nvContentPartPr>
          <xdr14:nvPr macro=""/>
          <xdr14:xfrm>
            <a:off x="15485740" y="925920"/>
            <a:ext cx="689400" cy="1450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48EA9CE4-70D4-4D32-A9B9-01CDCD6879C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5477100" y="917280"/>
              <a:ext cx="707040" cy="16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433354</xdr:colOff>
      <xdr:row>3</xdr:row>
      <xdr:rowOff>146697</xdr:rowOff>
    </xdr:from>
    <xdr:to>
      <xdr:col>24</xdr:col>
      <xdr:colOff>128412</xdr:colOff>
      <xdr:row>5</xdr:row>
      <xdr:rowOff>144295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ECD1BFC4-5406-4BE0-8DAD-C2DA50458682}"/>
                </a:ext>
              </a:extLst>
            </xdr14:cNvPr>
            <xdr14:cNvContentPartPr/>
          </xdr14:nvContentPartPr>
          <xdr14:nvPr macro=""/>
          <xdr14:xfrm>
            <a:off x="15086500" y="678960"/>
            <a:ext cx="295560" cy="3524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ECD1BFC4-5406-4BE0-8DAD-C2DA5045868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5077860" y="670320"/>
              <a:ext cx="313200" cy="3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217671</xdr:colOff>
      <xdr:row>6</xdr:row>
      <xdr:rowOff>20515</xdr:rowOff>
    </xdr:from>
    <xdr:to>
      <xdr:col>25</xdr:col>
      <xdr:colOff>320991</xdr:colOff>
      <xdr:row>6</xdr:row>
      <xdr:rowOff>48955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27F86BAB-ECDA-4550-A736-A22102D03AFB}"/>
                </a:ext>
              </a:extLst>
            </xdr14:cNvPr>
            <xdr14:cNvContentPartPr/>
          </xdr14:nvContentPartPr>
          <xdr14:nvPr macro=""/>
          <xdr14:xfrm>
            <a:off x="16071820" y="1085040"/>
            <a:ext cx="103320" cy="284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27F86BAB-ECDA-4550-A736-A22102D03AFB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063180" y="1076040"/>
              <a:ext cx="120960" cy="4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555732</xdr:colOff>
      <xdr:row>5</xdr:row>
      <xdr:rowOff>16495</xdr:rowOff>
    </xdr:from>
    <xdr:to>
      <xdr:col>26</xdr:col>
      <xdr:colOff>118289</xdr:colOff>
      <xdr:row>7</xdr:row>
      <xdr:rowOff>77454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B87A606B-7EC4-4A81-8644-88F5A6BB3A88}"/>
                </a:ext>
              </a:extLst>
            </xdr14:cNvPr>
            <xdr14:cNvContentPartPr/>
          </xdr14:nvContentPartPr>
          <xdr14:nvPr macro=""/>
          <xdr14:xfrm>
            <a:off x="15809380" y="903600"/>
            <a:ext cx="763560" cy="415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B87A606B-7EC4-4A81-8644-88F5A6BB3A88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5800740" y="894600"/>
              <a:ext cx="781200" cy="43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223812</xdr:colOff>
      <xdr:row>7</xdr:row>
      <xdr:rowOff>107694</xdr:rowOff>
    </xdr:from>
    <xdr:to>
      <xdr:col>24</xdr:col>
      <xdr:colOff>454572</xdr:colOff>
      <xdr:row>8</xdr:row>
      <xdr:rowOff>78953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15CD4F8D-73B7-428B-8FC9-7967FB4AF76E}"/>
                </a:ext>
              </a:extLst>
            </xdr14:cNvPr>
            <xdr14:cNvContentPartPr/>
          </xdr14:nvContentPartPr>
          <xdr14:nvPr macro=""/>
          <xdr14:xfrm>
            <a:off x="15477460" y="1349640"/>
            <a:ext cx="230760" cy="1486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15CD4F8D-73B7-428B-8FC9-7967FB4AF76E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5468460" y="1341000"/>
              <a:ext cx="248400" cy="16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60732</xdr:colOff>
      <xdr:row>8</xdr:row>
      <xdr:rowOff>128273</xdr:rowOff>
    </xdr:from>
    <xdr:to>
      <xdr:col>24</xdr:col>
      <xdr:colOff>72972</xdr:colOff>
      <xdr:row>8</xdr:row>
      <xdr:rowOff>134753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DE250B4D-232B-4BD5-BB7C-3B81425A6BEE}"/>
                </a:ext>
              </a:extLst>
            </xdr14:cNvPr>
            <xdr14:cNvContentPartPr/>
          </xdr14:nvContentPartPr>
          <xdr14:nvPr macro=""/>
          <xdr14:xfrm>
            <a:off x="15314380" y="1547640"/>
            <a:ext cx="12240" cy="648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DE250B4D-232B-4BD5-BB7C-3B81425A6BE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5305380" y="1539000"/>
              <a:ext cx="2988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303034</xdr:colOff>
      <xdr:row>2</xdr:row>
      <xdr:rowOff>154198</xdr:rowOff>
    </xdr:from>
    <xdr:to>
      <xdr:col>24</xdr:col>
      <xdr:colOff>53892</xdr:colOff>
      <xdr:row>6</xdr:row>
      <xdr:rowOff>154075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8156D153-EB20-44A9-9866-7ACFE4D4145D}"/>
                </a:ext>
              </a:extLst>
            </xdr14:cNvPr>
            <xdr14:cNvContentPartPr/>
          </xdr14:nvContentPartPr>
          <xdr14:nvPr macro=""/>
          <xdr14:xfrm>
            <a:off x="14956180" y="509040"/>
            <a:ext cx="351360" cy="7095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8156D153-EB20-44A9-9866-7ACFE4D4145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4947180" y="500040"/>
              <a:ext cx="369000" cy="72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207231</xdr:colOff>
      <xdr:row>2</xdr:row>
      <xdr:rowOff>77158</xdr:rowOff>
    </xdr:from>
    <xdr:to>
      <xdr:col>25</xdr:col>
      <xdr:colOff>371391</xdr:colOff>
      <xdr:row>3</xdr:row>
      <xdr:rowOff>106377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429CCDC2-C7C1-4C13-A34C-7A24B459259F}"/>
                </a:ext>
              </a:extLst>
            </xdr14:cNvPr>
            <xdr14:cNvContentPartPr/>
          </xdr14:nvContentPartPr>
          <xdr14:nvPr macro=""/>
          <xdr14:xfrm>
            <a:off x="16061380" y="432000"/>
            <a:ext cx="164160" cy="20664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429CCDC2-C7C1-4C13-A34C-7A24B459259F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6052740" y="423000"/>
              <a:ext cx="181800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375012</xdr:colOff>
      <xdr:row>2</xdr:row>
      <xdr:rowOff>168179</xdr:rowOff>
    </xdr:from>
    <xdr:to>
      <xdr:col>25</xdr:col>
      <xdr:colOff>88431</xdr:colOff>
      <xdr:row>3</xdr:row>
      <xdr:rowOff>59518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63B1C63-5953-4518-AC04-6A189E34A598}"/>
                </a:ext>
              </a:extLst>
            </xdr14:cNvPr>
            <xdr14:cNvContentPartPr/>
          </xdr14:nvContentPartPr>
          <xdr14:nvPr macro=""/>
          <xdr14:xfrm>
            <a:off x="15628660" y="523021"/>
            <a:ext cx="313920" cy="6876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63B1C63-5953-4518-AC04-6A189E34A598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5619660" y="514381"/>
              <a:ext cx="331560" cy="8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339437</xdr:colOff>
      <xdr:row>10</xdr:row>
      <xdr:rowOff>31132</xdr:rowOff>
    </xdr:from>
    <xdr:to>
      <xdr:col>22</xdr:col>
      <xdr:colOff>159415</xdr:colOff>
      <xdr:row>12</xdr:row>
      <xdr:rowOff>154730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2217E9AF-ADB1-4AB0-9DC6-4CFA1BEB63F1}"/>
                </a:ext>
              </a:extLst>
            </xdr14:cNvPr>
            <xdr14:cNvContentPartPr/>
          </xdr14:nvContentPartPr>
          <xdr14:nvPr macro=""/>
          <xdr14:xfrm>
            <a:off x="13791580" y="1805341"/>
            <a:ext cx="420480" cy="4784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2217E9AF-ADB1-4AB0-9DC6-4CFA1BEB63F1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782940" y="1796701"/>
              <a:ext cx="438120" cy="49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326794</xdr:colOff>
      <xdr:row>12</xdr:row>
      <xdr:rowOff>95330</xdr:rowOff>
    </xdr:from>
    <xdr:to>
      <xdr:col>24</xdr:col>
      <xdr:colOff>155052</xdr:colOff>
      <xdr:row>15</xdr:row>
      <xdr:rowOff>26748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8F27947E-20DE-4296-8D3D-1B9B7E180B71}"/>
                </a:ext>
              </a:extLst>
            </xdr14:cNvPr>
            <xdr14:cNvContentPartPr/>
          </xdr14:nvContentPartPr>
          <xdr14:nvPr macro=""/>
          <xdr14:xfrm>
            <a:off x="14979940" y="2224381"/>
            <a:ext cx="428760" cy="46368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8F27947E-20DE-4296-8D3D-1B9B7E180B71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971300" y="2215381"/>
              <a:ext cx="446400" cy="48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442757</xdr:colOff>
      <xdr:row>23</xdr:row>
      <xdr:rowOff>10676</xdr:rowOff>
    </xdr:from>
    <xdr:to>
      <xdr:col>21</xdr:col>
      <xdr:colOff>512237</xdr:colOff>
      <xdr:row>23</xdr:row>
      <xdr:rowOff>14996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40A3699D-F7D8-405D-9C46-C0C95CCAD8F5}"/>
                </a:ext>
              </a:extLst>
            </xdr14:cNvPr>
            <xdr14:cNvContentPartPr/>
          </xdr14:nvContentPartPr>
          <xdr14:nvPr macro=""/>
          <xdr14:xfrm>
            <a:off x="13894900" y="4091357"/>
            <a:ext cx="69480" cy="432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40A3699D-F7D8-405D-9C46-C0C95CCAD8F5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3885900" y="4082357"/>
              <a:ext cx="8712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69329</xdr:colOff>
      <xdr:row>27</xdr:row>
      <xdr:rowOff>153113</xdr:rowOff>
    </xdr:from>
    <xdr:to>
      <xdr:col>26</xdr:col>
      <xdr:colOff>79409</xdr:colOff>
      <xdr:row>27</xdr:row>
      <xdr:rowOff>172913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F5BF69F8-2959-4305-B68B-9015EF9EF795}"/>
                </a:ext>
              </a:extLst>
            </xdr14:cNvPr>
            <xdr14:cNvContentPartPr/>
          </xdr14:nvContentPartPr>
          <xdr14:nvPr macro=""/>
          <xdr14:xfrm>
            <a:off x="16523980" y="4943477"/>
            <a:ext cx="10080" cy="1980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F5BF69F8-2959-4305-B68B-9015EF9EF795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6514980" y="4934477"/>
              <a:ext cx="277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265637</xdr:colOff>
      <xdr:row>29</xdr:row>
      <xdr:rowOff>168711</xdr:rowOff>
    </xdr:from>
    <xdr:to>
      <xdr:col>24</xdr:col>
      <xdr:colOff>331812</xdr:colOff>
      <xdr:row>30</xdr:row>
      <xdr:rowOff>39170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E82C203A-3144-4C5C-90C6-7055851EEC8B}"/>
                </a:ext>
              </a:extLst>
            </xdr14:cNvPr>
            <xdr14:cNvContentPartPr/>
          </xdr14:nvContentPartPr>
          <xdr14:nvPr macro=""/>
          <xdr14:xfrm>
            <a:off x="13717780" y="5313917"/>
            <a:ext cx="1867680" cy="4788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E82C203A-3144-4C5C-90C6-7055851EEC8B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3708780" y="5305277"/>
              <a:ext cx="1885320" cy="65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5:35.8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222 0 6355,'0'1'157,"0"-1"1,-1 0-1,1 0 0,0 0 1,-1 1-1,1-1 1,0 0-1,-1 0 0,1 1 1,0-1-1,0 0 0,-1 1 1,1-1-1,0 0 1,0 1-1,0-1 0,-1 0 1,1 1-1,0-1 1,0 2-1,0-2 0,0 0 1,0 1-1,0-1 0,0 1 1,0-1-1,0 1-157,-1 21 850,3 26-1517,-2-45 922,4 76-52,-4-3 0,-9 67-203,8-92 123,1-1 0,4 23-123,0-17 39,-4 51-39,-3 52 23,-2 18 0,-2-38 6,-5 74 294,-3-42-200,7-65-83,-11 50-40,-6-4 32,25-147-32,0-4-1,1 1 1,-1-1 0,0-1 0,0 1-1,0 0 1,0 0 0,0 0 0,0 0-1,0 0 1,0 0 0,-1-1 0,1 1-1,0-1 1,0 1 0,-1 0 0,1-1-1,0 1 1,-1 1 0,1-1 0,-1-1 0,1 1-1,-1 0 1,1-1-12,-1 0 0,1 1 0,0-1 0,-1 0 0,1 0 0,-1 0 0,1 1 0,0-1 1,-1 0-1,1 0 0,-1 0 0,1 0 0,-1 0 0,1 0 0,0 0 0,-1 0 0,1 0 0,-1 0 0,1 0 0,-1 0 0,1 0 0,0-1 0,-1 1 0,1 0 0,-1 0 0,1 0 0,0-1 0,-1 1 0,1 0 0,0 0 0,-1-1 0,1 1 0,0 0 0,-1-1 0,1 1 12,-16-13-141,14 11 133,-9-11 47,1 1 0,1 0 0,0-2-1,0 1 1,2-2 0,-1 2 0,2-2 0,0 0 0,-4-14-39,5 9 85,7 20-21,5 9-51,9 20 20,-8-14-13,1 0 0,1 0 0,0-1 0,1 0 0,0-1 1,1 0-1,13 11-20,-23-23 20,0 1 0,0-1 0,1 0 0,-1 0 1,0 0-1,1 0 0,-1-1 0,1 2 0,-1-2 0,1 1 1,-1-1-1,1 0 0,0 0 0,-1 0 0,1 0 0,-1 0 0,1-1 1,-1 1-1,1-2 0,-1 1 0,1 1 0,-1-1 0,0 0 1,1 0-1,-1-1 0,0 1 0,0-1 0,0 1 0,0-1 1,1 0-21,7-8 79,1 0 0,0-2 1,-1 1-1,8-14-79,1 2-21,16-18-85,9-10-1646,-16 16-2934,-9 8-2109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5:45.1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22 172 3826,'0'-3'597,"-1"0"0,0 0 1,0 1-1,0-2 0,0 1 0,0 1 1,0-1-1,-2-1-597,-5-2 299,5 21-475,3-8 211,0-1 0,1 0 0,-1 0-1,1 0 1,1 1 0,-1-1 0,1-2 0,0 3 0,0-1 0,3 5-35,-4-11 10,-1 0-1,0 0 1,1 0 0,-1 0-1,1 0 1,-1 0-1,1 0 1,-1 0 0,0 0-1,1 0 1,-1-2-1,1 2 1,-1 0 0,0 0-1,1 0 1,-1 0-1,0-1 1,1 1 0,-1 0-1,0 0 1,1-1-1,-1 1 1,0 0 0,1-1-1,-1 1 1,0 0-1,0-1 1,1 1 0,-1 0-1,0-1 1,0 1-10,12-15 158,-12 14-150,26-30 127,1 0-1,1 2 1,1 1-1,2 1 1,20-13-135,-29 28-434,-7 8-4113,-9 3-685</inkml:trace>
  <inkml:trace contextRef="#ctx0" brushRef="#br0" timeOffset="1509.05">58 747 5475,'-10'0'3122,"0"1"-1156,17 14-1727,-1-6-183,-5-5-45,0-2 1,1 0 0,-1 0-1,1 0 1,-1 0 0,1 0 0,0 0-1,0 0 1,-1 0 0,1-1-1,1 1-11,-3-2 11,1 1-1,0-1 0,-1 0 0,1 0 1,0 0-1,-1 1 0,1-1 0,0 0 0,0 0 1,-1 0-1,1 0 0,0 0 0,0 0 1,-1 0-1,1-1 0,0 1 0,0 0 1,-1 0-1,1 0 0,0-1 0,-1 1 1,1 0-1,0-1 0,-1 1 0,1-1 1,0 1-11,19-16 448,-10 7-306,41-23-230,15-10-1366,-23 12-3826,-26 17 259</inkml:trace>
  <inkml:trace contextRef="#ctx0" brushRef="#br0" timeOffset="2267.53">84 1244 6995,'0'0'1476,"0"0"-191,0 0-826,0 0-323,0 0-48,0 0 11,0 0 29,0 0 27,0 0 10,0 0 22,0 0 8,0 0 8,0 0-11,0 0-14,0 0-7,0 0-24,0 0-24,0 0-38,0 0-26,0 0-35,0 0-11,1 2-10,0 2 0,-1-1-1,1 2 1,1-2 0,-1 0 0,0 0-1,1 1 1,1 1-3,6 15 26,-5-2-16,-4-13-8,1 0 0,-1-2 1,1 1-1,0 0 0,1 1 0,-1-2 1,1 1-1,-1 0 0,1 0 1,0-1-1,2 3-2,-3-6 5,0 1 1,0-1-1,-1 0 0,1 1 1,0-1-1,0 0 0,0 1 1,0-1-1,0 0 0,0 0 1,0 0-1,0 0 0,0 0 1,0 0-1,0 0 1,0 0-1,-1-1 0,1 1 1,0 0-1,0 0 0,0-1 1,0 1-1,0-1 0,0 1 1,-1 0-1,1-1 1,1 0-6,20-15 156,29-39 36,-11 10-1836,-11 18-3843,-17 17-521</inkml:trace>
  <inkml:trace contextRef="#ctx0" brushRef="#br0" timeOffset="2830.54">210 1769 6947,'0'0'1620,"5"-2"1217,13-2-2681,-12 19 117,2 0 482,-7-15-738,0 0-1,0 0 1,-1 1 0,1-1 0,0 0 0,0 0-1,-1 0 1,1 0 0,0 0 0,0 0 0,-1 0-1,1 0 1,0 0 0,-1-1 0,1 1 0,0 0-1,0 0 1,-1-1 0,1 1 0,0 0 0,-1-1-1,1 1 1,-1 0 0,1-1 0,0 1 0,-1-1-17,11-6-116,-1-1 1,0-1 0,4-5 115,26-29-3961,-30 31 2254,21-22-5304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5:54.3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16 485 5811,'-5'-7'4604,"-6"-6"-2635,22 30-1823,-1 0 0,0 1 1,-2 0-1,7 17-146,56 175 13,-71-209-14,1-1 1,-1 1-1,0-1 1,1 0-1,-1 2 0,1-2 1,-1 1-1,1-1 1,-1 0-1,1 0 1,-1 1-1,1-1 0,0 0 1,-1 0-1,1 0 1,-1 1-1,1-1 0,0 0 1,-1 0-1,1 0 1,-1 0-1,1 0 1,1 0-3,2-3 8,0-2 1,0 2-1,-1-2 1,0 1-1,1 0 1,-1-1-1,-1 0 1,1 0-1,0 0 1,-1 0-1,0 0 1,0-1-1,-1 1 1,1-2-6,18-39 35,-5 17-12,7-8 18,-21 36-253,0 1 0,0 0 0,0 0 0,0-1 0,0 1 0,0 0 0,0 0 0,0 0 1,0 0-1,0 0 0,0 0 0,0 0 0,0 0 0,0 1 0,1-1 212,0 0-3563,0 0-2837</inkml:trace>
  <inkml:trace contextRef="#ctx0" brushRef="#br0" timeOffset="690.74">248 393 5971,'-15'-5'4172,"15"5"-4121,-1 0-1,1 0 0,0 0 0,0 0 0,-1 0 0,1 0 1,0 0-1,0 1 0,0-1 0,-1 0 0,1 0 0,0 0 0,0 0 1,-1 0-1,1 0 0,0 1 0,0-1 0,0 0 0,0 0 1,-1 0-1,1 0 0,0 1 0,0-1 0,0 0 0,0 0 0,0 1 1,0-1-1,0 0 0,-1 0 0,1 0 0,0 1 0,0-1 0,0 0-50,0 4 18,1-1-1,-1-1 1,1 2-1,-1-2 1,1 1-1,0-1 1,0 2-1,0-2 1,0 1-1,0-1-17,1 3 2,-1-2 0,1 0-1,0 1 1,0-1-1,1 0 1,-1 1-1,0-1 1,1-1-1,0 1 1,0 0-1,-1 0 1,1-1 0,1 0-1,-1-1 1,2 3-2,-3-3-1,0 0 1,0-1 0,0 1 0,0-1 0,0 0 0,-1 1 0,1-1-1,0 0 1,0 0 0,0 0 0,0 0 0,0-1 0,0 1-1,0 0 1,0-1 0,0 0 0,0 1 0,-1-1 0,1 0 0,0-1-1,0 1 1,-1 0 0,1 0 0,0 0 0,-1 0 0,0-1-1,1 1 1,-1-2 0,1 1 0,-1 1 8,0 0 0,-1 0-1,1 0 1,0 0 0,-1 0 0,1 0 0,-1-1-1,0 1 1,1 0 0,-1 0 0,0 0-1,0 0 1,1 0 0,-1 0 0,0 0-1,0 0 1,0-1 0,0 1 0,0-1 0,-1 1-1,1 0 1,0 0 0,-1 0-8,0-3 33,0 1 0,0 0 0,-1 1 1,1-2-1,-1 2 0,0-1 0,0 1 0,0-1 0,-1 0-33,-3-4 170,-1 1-1,0-1 0,-1 2 0,1-1 0,-7-3-169,3 7-544,11 3 209,-1-1-1,1 1 1,0-1 0,0 1-1,0-1 1,-1 2-1,1-1 1,0-1 0,0 1-1,0-1 1,0 1 0,0-1-1,0 1 1,0-1-1,0 1 1,0-1 0,0 1-1,1 0 1,-1-1-1,0 1 1,0-1 335,2 7-5728</inkml:trace>
  <inkml:trace contextRef="#ctx0" brushRef="#br0" timeOffset="1127.84">324 401 2865,'0'0'60,"0"1"0,0-1 0,0 1 1,0 0-1,0-1 0,0 2 0,0-2 0,0 1 0,0 0 0,0-1 0,0 1 0,0-1 0,0 1 0,1-1 0,-1 1 0,0 0 0,0-1 0,1 1 0,-1-1 0,0 1 0,1-1 0,-1 1 1,0-1-1,1 0 0,-1 2 0,1-2 0,-1 1 0,1-1 0,-1 0 0,1 1 0,-1-1 0,1 0 0,-1 0 0,1 1 0,-1-1 0,1 0 0,-1 0 0,1 0 0,0 0 0,-1 0 0,1 0 0,-1 0 1,1 0-1,0 0 0,-1 0 0,1 0 0,-1 0 0,1 0 0,-1 0 0,1-1 0,0 1 0,-1 0 0,1 0 0,-1-1 0,1 1 0,-1 0 0,1-1 0,-1 1 0,1 0 0,-1-2 0,1 2-60,3-3 503,0 0 0,1 0 0,-1-1 0,-1 0 0,1-1 0,1 0-503,-2 1 277,1-1 1,-1 1-1,0-2 1,-1 2-1,1-2 1,-1 1-1,2-5-277,-4 8 66,1-1 0,-1 2 1,0-1-1,0 0 0,0 1 0,0-1 0,0 1 0,0-2 0,0 1 0,0 1 0,0-1 0,-1 0 0,1 1 0,-1-2 0,1 2 0,-1-1 0,0 1 1,0-1-1,1 1 0,-1-2 0,0 2 0,0 0 0,0 0 0,0-1 0,-1 1 0,0 0-66,0-3 16,0 2 0,0 0 0,0 0 0,-1 1 0,1-2 0,0 1 0,-1 1 0,0-1 0,1 1-1,-1 0 1,0 0 0,0 0 0,0-1 0,0 2 0,1-1 0,-1 1 0,0 0 0,0 0 0,0 0 0,0 0 0,0 0 0,0 0 0,0 1 0,0 1 0,0-2 0,0 1 0,1 0 0,-1 0-1,0 1 1,0-1 0,1 1 0,-1-1 0,1 2 0,0-1 0,-1 0 0,1 0 0,0 0 0,0 1 0,0-1 0,0 1 0,1-1 0,-1 2 0,0-1-16,1-1-39,1-1 0,-1 0 1,0 1-1,1 0 0,-1-1 1,1 0-1,-1 1 0,1-1 1,0 1-1,0 0 0,0-1 1,-1 1-1,1-1 1,1 1-1,-1-1 0,0 1 1,0 0-1,0-1 0,1 1 1,-1-1-1,1 2 39,0-2-434,-1 0-1,1 1 1,0-1 0,0 0-1,-1 0 1,1 0-1,0 0 1,0 0 0,0-1-1,0 1 1,0 0 0,0 0-1,0-1 1,1 2 0,-1-2-1,0 1 1,0-1 434,6 2-5696</inkml:trace>
  <inkml:trace contextRef="#ctx0" brushRef="#br0" timeOffset="1786.1">396 300 6707,'-3'-2'4041,"-1"-3"-2226,10 6-1819,0-1-1,0 1 1,-1 2-1,1-2 1,0 1 0,0 0-1,-1 0 1,1 0-1,4 5 5,50 35 44,-22-14-27,-6-6-257,-1 2 0,16 17 240,-46-41-15,-1 0-1,1 1 1,0-1-1,-1 1 1,1-1-1,-1 0 1,0 1 0,1-1-1,-1 1 1,1-1-1,-1 1 1,0 0-1,1-1 1,-1 1-1,0-1 1,0 1-1,1 1 1,-1-2 0,0 1-1,0-1 1,0 1 15,-8 4-143,6-5 148,-1 1 1,0-1-1,1 0 0,-1-1 1,1 1-1,-1 0 1,1-1-1,-1 1 0,-1-2-5,-9-5 94,0 0 1,1-1-1,0-2 0,0 1 0,0-1 0,1-1 0,1 0 0,0 0 1,0-1-1,-6-10-94,2 0 97,1-1 0,0 0 0,2-2 0,0 0 1,-7-23-98,15 37 10,0 0 0,1 0 1,0-1-1,1 1 0,0-1 0,0 1 1,1-7-11,1 12 0,-1-1 0,1 1 0,0-1 0,0 2 1,0-2-1,1 1 0,0 0 0,0-1 1,0 2-1,1-1 0,0 1 0,0-1 0,3-4 0,-5 8-2,0 1 0,0 0 0,1 0 0,-1 0 0,0 0 0,1 0 0,-1 0 0,0-1 0,1 2-1,-1-1 1,1 0 0,0 1 0,-1-1 0,1 1 0,-1 0 0,1 0 0,0-1 0,-1 1 0,1 0 0,0 0-1,-1 0 1,1 1 0,-1-1 0,1 0 0,0 1 0,-1-1 0,1 1 0,-1-1 0,1 1 0,-1 1 0,1-2-1,-1 1 1,1 0 0,-1 0 0,0 0 0,0 0 0,2 1 2,0 2-5,0-1 1,0 0-1,0 0 1,0 1-1,-1 0 1,1-1-1,-1 2 0,0-2 1,0 2-1,0-1 1,0 0-1,0 1 1,-1-1-1,0 2 5,0 6 3,0 0-1,-1 0 1,-1 0 0,0 0 0,0-1-1,-1 1 1,0 1 0,-1-2-1,-2 6-2,-7 17-541,-1 1-1,-8 12 542,3-13-6851,13-25 1715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6:23.64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0 922 6083,'0'0'1296,"0"0"-175,0 0-729,0 0-283,0 0-63,0 0 5,0 0 23,0 0 9,0 0 5,0 0-19,0 0-7,0 0-14,12 32 101,-10-27-57,-1 0-1,2 0 1,-1-1 0,0 1-1,1 0 1,0-1 0,1 0-92,-3-3 38,-1-1 0,1 2 0,0-1 0,0-1 0,-1 1 1,2-1-1,-1 1 0,0-1 0,0 1 0,0-1 0,0 1 1,-1-1-1,1 0 0,0 1 0,0-1 0,0 0 0,0 0 1,0 0-1,0 0 0,0 0 0,0 0 0,0 0 0,0 0 0,0 0 1,0 0-1,0-1 0,0 1 0,0 0 0,0-1 0,0 1 1,0-1-1,-1 1 0,1-1 0,0 1 0,0-1 0,0 1 1,-1-1-1,1-1-38,17-13 219,42-33-1099,-18 17-3835,-13 9-1672</inkml:trace>
  <inkml:trace contextRef="#ctx0" brushRef="#br0" timeOffset="1782.75">1690 988 5507,'1'9'2623,"4"29"-2104,-7-7 82,1 27 250,2-54-758,-1-2 1,0 3-1,1-1 0,0 0 1,0-1-1,0 1 0,0 0 1,1 0-1,-1 0 0,1-2 1,1 5-94,-1-7 55,-1 0 1,0-1-1,1 1 1,-1 0-1,0 0 1,0-1-1,1 1 1,-1-1-1,0 1 1,0-1-1,0 1 0,0-2 1,1 1-1,-1 0 1,1 1-1,-2 0 1,1-1-1,0 0 1,0 0-1,0 0-55,3-3 110,14-10-474,-1-1 0,-1-2 0,1 1 0,-2-2 0,12-19 364,2-1-4388,-8 12-1751</inkml:trace>
  <inkml:trace contextRef="#ctx0" brushRef="#br0" timeOffset="2374.82">3335 1016 7748,'1'4'649,"2"-1"0,-2 2 0,1-1 0,-1 0 1,1 1-1,0-2 0,2 3-649,-3-4 0,0-1-1,0 1 1,0-1-1,0 1 1,0-1 0,1 0-1,-1 1 1,0-1-1,1 0 1,-1 0 0,1 0-1,-1 0 1,1 0-1,-1 1 1,1-2 0,0 1-1,0 0 1,-1-1-1,1 1 1,0-1 0,0 0-1,-1 0 1,1 0-1,0 0 1,0 0 0,0 0-1,-1 0 1,1 0-1,0-1 1,19-7-401,-2 0-1,-1-2 1,0 0-1,1-2 1,14-11 401,2-1-3931,-3 3-2411</inkml:trace>
  <inkml:trace contextRef="#ctx0" brushRef="#br0" timeOffset="7256.39">190 641 2833,'-86'-14'3306,"184"23"-820,-59-6-1589,30 1-897,121 6 835,-77-2-641,-37-2 111,1-2-305,450 1 717,-442 0-682,-7-1 58,39-5-93,-56 1 24,48 6-24,15-2 11,1-3 1,218-5 21,-128 5-22,-83 1-6,87 5 138,-82-1 243,113-12-386,-180 0 297,1 4 1,68 7-298,-127-4 16,52 5 368,2-3-384,-46-2 157,-24-2-144,0 1 0,-1-1 0,1-1 0,0 1 0,1-1-1,-2-1 1,1 1 0,0-1 0,0 0-13,-20-11 28,-16-3 12,1-3 0,-9-5-40,46 21-2,2 4-12,0 0-2,0 0 0,29 12-29,-16-7 68,1-2 1,-1-1 0,1 2-1,13-3-23,-14 0 47,0 0 0,1 1 1,-2 1-1,14 4-47,-25-6-3,0-1 1,0 1 0,0-1 0,1 1 0,-1 0-1,0-1 1,0 1 0,0 0 0,0 0 0,0-1-1,0 1 1,0 0 0,0 0 0,0 1 2,-1-2-1,0 1 1,0-1-1,0 1 1,0 0-1,1-1 1,-1 2-1,0-1 1,0-1-1,0 1 0,0-1 1,0 1-1,0 0 1,-1-1-1,1 0 1,0 1-1,0-1 1,0 1-1,-1-1 1,1 1-1,0-1 1,0 1-1,-1-1 0,1 2 1,-1-2-1,1 1 1,0-1-1,-1 1 1,1-1-1,-1 1 1,1-1-1,-1 0 1,0 1 0,-6 7 5,0-2 0,-1 2 1,-1-2-1,1 0 0,-1 0 1,0-2-1,0 2 0,0-2 1,0 0-1,-6 2-5,-9-1-338,1-1 1,0-1-1,-1-1 0,2-2 0,-16 0 338,20 0-1488,3 0-2450,2-5-2844</inkml:trace>
  <inkml:trace contextRef="#ctx0" brushRef="#br0" timeOffset="9422.69">1536 184 4562,'0'-184'7182,"-2"239"-7074,0-22-83,1 0 1,2 0-1,1 0 1,6 28-26,-7-53-1,1-1 1,0 1 0,0 0-1,0-1 1,1 0-1,0 1 1,1-2-1,-1 2 1,1-1 0,1-2-1,0 3 1,0-3-1,0 1 1,0 0-1,1 0 1,0-2 0,0 2-1,0-2 1,0 0-1,1 0 1,-1 0 0,1 0-1,3-1 1,-5-1 21,1-1 0,0 0 1,0 1-1,0-1 0,0-1 0,0 0 0,1 0 0,-1 0 0,0-1 0,0-1 1,1 1-1,-1 1 0,0-2 0,-1 0 0,1 0 0,0 0 0,-1-2 0,1 1 1,-1 0-1,0 0 0,0-1 0,0 1 0,-1-2 0,1 1 0,0-1 0,-1 1 1,0-1-1,0 0 0,-1 0 0,0-1 0,0 1 0,0-1 0,-1 0 0,1 1 1,-1-1-1,-1-1 0,2-3-21,1-12 55,-2 36-188,-2-10 134,0-2 0,0 1-1,1-1 1,-1 2 0,0-3-1,1 1 1,-1 1-1,1-1 1,0 2 0,0-2-1,0 0 1,0-1 0,0 1-1,1 1 1,-1 0 0,1-2-1,-1 1 1,1 0-1,0 1 1,-1-1 0,1-2-1,0 2 1,0-1 0,0 1-1,0-1 1,1 1-1,0-1 0,0 1 5,1-2 0,-1 1 0,0 0 0,1 0 0,-1-1 0,1 0 0,-1 0-1,0 0 1,1 0 0,-1-1 0,1 1 0,-1-1 0,0 0 0,1 1-1,-1-2 1,0 1 0,0-1 0,0 0 0,3 0-5,-5 1 7,0 0 0,-1 0 0,1 0 0,0 0-1,-1-1 1,1 1 0,-1-1 0,0 1 0,1 0 0,-1-1 0,0 1 0,0 0 0,1-2 0,-1 2 0,0 1-1,-1-2 1,1 1 0,0 0 0,0-1 0,0 1 0,-1-1 0,1 0 0,-1 1 0,1 0 0,-1 0 0,1 0 0,-1-1-1,-1 0-6,-20-39 12,20 37-15,-1 1-1,1 0 1,-1 0-1,1 0 0,-1 0 1,0 1-1,0-2 1,-1 2-1,1 1 1,0-1-1,-1 0 0,1 1 1,-1-2-1,0 2 1,-1-1 3,-4 0-8,-1 0 0,0 1 0,1 0 0,-1 0 0,-6 1 8,16 0-2,0 0 0,-1 0 1,1 0-1,-1 0 0,1 0 0,0 0 1,-1 1-1,1-1 0,0 0 0,-1 0 1,1 0-1,0 0 0,0 1 0,-1-1 1,1 0-1,0 0 0,0 1 0,-1-1 0,1 0 1,0 0-1,0 1 0,-1-1 0,1 0 1,0 1-1,0-1 0,0 0 0,0 1 1,0-1-1,0 0 0,-1 1 0,1-1 1,0 0-1,0 1 0,0-1 2,1 20-33,11 16-21,-10-33 51,0-1 0,0 0 0,0-1-1,0 2 1,0-2 0,0 2 0,0-1 0,1 0 0,-1-1-1,1 1 1,-1-1 0,1 1 0,0-2 0,-1 1 0,1 0-1,0 0 1,0-1 0,-1 1 0,1-1 0,0 0 0,0 0-1,0 0 1,0 0 0,2 0 3,9-2 10,1 0 1,-1-2-1,0 0 1,10-5-11,12-2 7,-22 7 5,1-1-1,-1 0 0,8-6-11,11-5 12,-32 16-15,-1 0 0,0 0-1,0 0 1,1 0 0,-1 0 0,0 0 0,0 0 0,0 0 0,1 0 0,-1 0-1,0 0 1,0 0 0,1 0 0,-1 0 0,0 0 0,0 0 0,0 1 0,1-1-1,-1 0 1,0 0 0,0 0 0,0 0 0,0 0 0,1 2 0,-1-2-1,0 0 1,0 0 0,0 0 0,0 1 0,0-1 0,0 0 0,1 0 0,-1 0-1,0 1 1,0-1 0,0 0 0,0 0 0,0 0 0,0 1 0,0-1 0,0 0-1,0 0 1,0 1 0,0-1 0,0 0 3,1 21-12,-1-17 17,0-2-1,0 3 1,0-2-1,0 2 1,1-2-1,0 0 1,0 0-1,0 2 1,0-1-5,5 3 2,0 0 0,0-1-1,0 0 1,1-1 0,0 2 0,0-4 0,0 3 0,2-2 0,-1 0-1,4 1-1,-11-4 4,1-1-1,-1 1 1,1-1-1,0 1 1,-1-1-1,1 0 1,0 0-1,-1 1 0,1-1 1,-1 0-1,1-1 1,0 1-1,0 0-3,-2 0 12,1-1-1,0 1 1,-1 0-1,1 0 1,-1-1-1,1 1 1,-1-1-1,1 1 1,-1 0 0,1-1-1,-1 1 1,1-1-1,-1 1 1,1-1-1,-1 1 1,0-1-1,1 0 1,-1 1 0,0-1-1,1 1 1,-1-1-1,0 0-11,0-2 26,1-1-1,-1 0 1,0 2-1,0-1 1,0-2 0,-1 2-1,1 0 1,-1-1-1,0 1 1,0 0 0,0-1-1,0 0-25,-3-5 7,1-1 1,-2 1-1,1-1 0,-1 3 1,0-3-1,-3-1-7,5 8-3,0-1-1,0 1 1,0-2 0,-2 2-1,2 0 1,-1 0 0,1 1-1,-1-1 1,0 1 0,0 0-1,0 0 1,-1-1 0,1 1-1,-4 0 4,-3 2-28,17 5-30,20 7-24,-11-11 89,0-1 0,0-1 0,-1-1 1,0 0-1,1 0 0,0-1 0,-1-2 0,-1 1 0,1-2 0,4-2-7,10-2 4,-27 9-5,1-1 0,0 1-1,0 1 1,0-1 0,0 1-1,0-1 1,1 1 0,-1 0 0,0-1-1,0 1 1,0 0 0,0 1 0,0-1-1,0 0 1,0 1 0,0-1 0,0 1-1,0-1 1,0 1 0,0 1 0,2 0 1,-2 0-5,0 0 0,1 0 1,-1-1-1,-1 3 0,1-2 1,0 1-1,-1-1 0,0 2 1,0-2-1,1 1 1,-1-1-1,-1 2 0,1-1 1,0 0-1,-1 2 5,8 51-5,-2 0 0,-3 0 0,-3 36 5,0-86-1,0-2 3,0-3-1,0 1 0,0-1 0,0 1 0,0-1 0,0 0 0,-1 1 0,1-1 0,0 1 0,-1-1 0,1 0 0,-1 1 0,1-1 0,-1 0 0,0 2 0,0-2 0,0 0 0,1 0-1,-1-1 29,1 0 6,0 0 13,-1-3-2,0-1 1,1 1-1,-1-1 0,1 0 1,0 1-1,0 0 1,0-2-1,0 0-46,0 1 24,2-15-7,0-1 0,1 0 1,1 0-1,4-11-17,6-28 13,-8 18-8,-3 19-13,0 0 0,2 0 1,6-15 7,-10 31-5,1 1 0,0 0 0,0 1 1,1-2-1,-1 2 0,1 0 1,0-1-1,0 1 0,1-1 0,-1 2 1,1 0-1,0-1 0,0 0 1,0 1-1,0-1 0,0 2 1,4-2 4,-7 3-4,1-1 1,1 2-1,-2-1 1,1 0-1,0 0 1,-1 1 0,1-1-1,0 1 1,0 0-1,0-1 1,-1 1 0,1 0-1,0 0 1,0 0-1,0 0 1,0 1-1,-1-1 1,1 0 0,0 1-1,0-1 1,-1 1-1,1 0 1,0-1-1,-1 1 1,1 1 0,0-1-1,-1 0 1,1 0-1,-1 0 1,0 1 0,1-1-1,-1-1 1,0 3-1,0-2 1,0 1-1,0-1 1,0 1 0,0-1-1,0 1 1,0 1-1,-1-1 1,1-2 0,-1 3 3,2 3-7,-1-2 1,0 1-1,0 0 1,-1-1-1,0 2 1,0-2-1,0 1 1,0 0-1,-1 1 1,1-2-1,-1 1 1,0 0-1,-1-2 1,1 3-1,-1-2 1,-2 4 6,0-1-18,0 0 1,-1-1 0,0-1-1,-1 2 1,1-3 0,-1 2-1,0-1 1,0 0-1,-2-1 1,2 1 0,-1-2-1,-3 2 18,2-1-977,0-1 0,-1 0 0,0 1-1,0-2 1,0 0 0,-5-1 977,-20 0-7233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6:49.44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6 1 4850,'0'0'60,"0"0"-1,-1 0 1,1 0-1,0 0 1,0 0-1,0 0 1,0 0-1,-1 0 1,1 0-1,0 0 1,0 0 0,0 0-1,0 0 1,-1 0-1,1 0 1,0 0-1,0 0 1,0 0-1,0 0 1,0 0-1,-1 0 1,1 0-1,0 0 1,0 0-1,0 1 1,0-1-1,0 0 1,0 0 0,-1 0-1,1 0 1,0 0-1,0 0 1,0 1-1,0-1 1,0 0-1,0 0 1,0 0-1,0 0 1,0 1-1,0-1 1,0 0-1,0 0 1,0 0-1,0 0 1,0 1-1,0-1 1,0 0 0,0 0-1,0 0 1,0 0-60,7 11 1052,15 6-327,7-11-440,-1-1-1,1-2 1,0 0-1,0-2 0,7-1-284,216 9 529,178-8 143,-251 3-587,-119-2-48,52 10-37,-4 0 22,55 6-12,-79-7 60,83 0-70,43 0 11,0 1-3,-26-10 3,160-3 23,-178-8-31,131-3 13,93 3 34,-137 2 348,-247 7-378,1 0 0,-1 0 0,1 1 0,0 0 0,-1 0 0,0 0 0,1 1 0,1 1-20,-6-2 0,-2 2 3,0-3-10,0 1 0,0-1 0,-1 1 0,1 0 0,0-1 0,-1 1 0,1-1 1,0 1-1,-1-1 0,1 1 0,-1-1 0,1 1 0,-1-1 0,1 0 0,-1 1 1,1-1-1,-1 0 0,1 1 0,-1-1 0,0 0 0,1 1 0,-1-1 0,0 0 0,1 0 1,-1 0-1,1 0 0,-1 0 7,-20 4-1606,19-4 770,-15 0-2987,-1-2-2871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6:52.724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3 38 5154,'-1'-7'3175,"3"23"-3151,3 17-157,0 0 0,-2 2 133,5 43 125,-5-59 111,-5-28 287,-5-31-31,2-34 377,2 36 306,-6-36-1175,7 64-183,3 21-879,3 20-4088,-2-14 38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6:53.997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412 1 6435,'0'0'63,"0"0"0,0 0 0,0 0-1,0 0 1,-1 0 0,1 0 0,0 0 0,0 0 0,0 0 0,0-1-1,0 1 1,0 0 0,-1 0 0,1 0 0,0 0 0,0 0 0,0 0-1,0 0 1,0 0 0,-1 0 0,1 0 0,0 0 0,0 0 0,0 0 0,0 0-1,0 0 1,-1 0 0,1 0 0,0 0 0,0 1 0,0-1 0,0 0-1,0 0 1,-1 0 0,1 0 0,0 0 0,0 0 0,0 0 0,0 0 0,0 0-1,0 1 1,0-1 0,0 0 0,0 0 0,-2 0 0,2 0 0,0 0-1,0 0 1,0 1 0,0-1 0,0 0 0,0 0 0,0 0-63,-4 15 846,1 25-1506,2-32 981,-1 46-502,4 34 181,1-27-2429,-1-27-676,-2-8-1454</inkml:trace>
  <inkml:trace contextRef="#ctx0" brushRef="#br0" timeOffset="521.61">301 624 7940,'-1'-1'155,"0"0"0,-1-1 0,1 1 0,0-1 0,0 1 0,0 0 0,1 0 1,-1-1-1,0 1 0,1-1 0,-1 1 0,1 0 0,0-2 0,-1 3 0,1-2 1,0 1-1,0-1 0,0 1 0,0-1 0,0 1 0,0-2 0,1 2 0,-1-1 1,0 1-1,1-1 0,-1 1 0,1 0 0,-1-1 0,1 2-155,2-5-22,2 1 0,-2 0 0,1-1 0,0 2 0,-1 1 0,3-1 0,-2 0 0,1-2 22,1 2-64,-1 0 0,0 0 0,0 0 0,2 1 1,-1 0-1,1 0 0,-1 1 0,0-1 0,4 1 64,-8-1-17,-1 2 0,0 0 0,1 0 0,-1 0 0,0 0 0,1 0 0,-1 2 0,0-2 0,2 0 0,-2 1 0,0-1-1,1 1 1,-1-1 0,0 1 0,0-1 0,0 1 0,0 0 0,0 0 0,1 0 17,-1 0-4,0 0 1,-1 1-1,1-1 1,1 1-1,-2-1 0,1 0 1,-1 1-1,1-1 1,-1 1-1,0-1 1,0 1-1,0 1 0,0-2 1,0 1-1,0-1 1,0 1-1,0-1 1,0 0-1,-1 0 0,1 1 1,-1 1 3,-4 12 10,-1 0 0,0 0 0,-2-1 1,1 1-1,-2-1 0,1 0 0,-2-1 0,0 0 1,-1 0-11,-33 48 28,44-61-35,0 0 0,-1 0-1,1 2 1,0-2 0,0 0 0,0 0 0,0 0 0,-1 0 0,1 1 0,0-1-1,0 0 1,0 0 0,0 0 0,-2 1 0,2-1 0,0 0 0,0 0-1,0 1 1,0-1 0,0 0 0,0 0 0,0 1 0,0-1 0,0 0-1,0 0 1,0 1 0,0-1 0,0 0 0,0 0 0,0 1 0,0-1 0,0 0-1,0 0 1,0 1 0,0-1 0,2 0 0,-2 0 0,0 0 0,0 1-1,0-1 1,0 0 0,0 0 0,1 0 0,-1 1 0,0-1 0,0 0 7,14-4-94,18-13 140,-24 12-245,7-4 169,0 0 0,1 0 0,9-2 30,-20 9-956,1 0 1,-2 1 0,3-1-1,-2 1 1,1 0 0,1 0-1,3 1 956,1 0-4055</inkml:trace>
  <inkml:trace contextRef="#ctx0" brushRef="#br0" timeOffset="1056.16">166 1069 7411,'13'-4'3306,"63"-25"-3461,-35 21 26,-22 13 153,-19-5-16,0 1 0,2-1-1,-2 0 1,0 1 0,1-1-1,-1 1 1,0-1 0,1 1-1,-1-1 1,0 1 0,0-1 0,0 1-1,0-1 1,1 1 0,-1-1-1,0 1 1,0-1 0,0 1-1,0-1 1,0 1 0,0-1-1,0 1 1,0-1 0,0 1-1,-1-1 1,1 1 0,0-1-1,0 1 1,0-1 0,-1 1 0,1-1-8,-1 2 16,-1 0 1,1-1 0,-1 1 0,1-1 0,-1 2 0,1-2 0,-1 1 0,1-1 0,-1 0-1,0 0 1,1-1 0,-2 1 0,1 0 0,0 0 0,0-1 0,0 1 0,0-1 0,0 2 0,-2-2-17,1 1-24,1-1 1,0 1 0,0 0 0,0-1 0,0 1-1,0 0 1,0 0 0,-1 0 0,1 0 0,0 1-1,1-1 1,-1 2 23,7-3-145,1-2 0,-1 2-1,1 2 1,0-2 0,-1 1 0,0 0-1,0-1 1,1 1 0,-1 1-1,0 0 1,2 0 145,-4 0 15,0 1 1,0-1-1,0 0 0,1 1 0,-2-1 0,1 0 0,-2 1 1,2 0-1,-1 0 0,0 0 0,0 1 0,0-1 0,0 0 1,0 0-1,-1 1 0,0 0 0,0-1 0,0 1 0,0-1 1,-1 1-1,1-1 0,-1 1 0,0 0 0,0 0 0,0-1 1,-1 0-1,1 2 0,-1 0-15,-1 3 27,1-3 0,-1 3 1,0-1-1,-2-1 0,1 1 0,0 0 0,0-2 1,0 2-1,-2-1 0,1-1 0,-1 1 0,1-1 1,-2 1-1,0 0-27,-8 5-1807,1 0 0,-1-3 0,-4 4 1807,2-3-4525</inkml:trace>
  <inkml:trace contextRef="#ctx0" brushRef="#br0" timeOffset="1414.25">232 1646 8292,'0'0'1710,"0"0"-261,10 17-1071,-5 0-611,-1 0 0,0 0 0,-1 0 0,-1-1 0,-1 2 0,1 11 233,-4 3-56,0-1-1,-1 2 0,-3 3 57,6-34-69,-7 30 428,7-31-393,0 0 0,0-1 0,0 1 0,0 0 1,-1-1-1,1 1 0,0-1 0,0 1 0,0-1 0,-1 0 1,1 1-1,0-1 0,0 1 0,-1-1 0,1 1 1,-1-1-1,1 2 0,0-2 0,-1 1 0,1-1 0,-1 1 1,1-1-1,-1 0 0,1 1 0,-1-1 0,1 0 1,-1 1-1,0-1 0,1 0 0,-1 0 0,1 0 0,-1 1 1,0-1-1,1 0 0,-1 0 0,0 0 0,1 0 1,-1 0 33,-8-13-4490,4 0-286</inkml:trace>
  <inkml:trace contextRef="#ctx0" brushRef="#br0" timeOffset="1742.58">138 1545 5875,'-1'-3'412,"-1"0"0,1 0 0,-1-1 0,1 1 0,-1 1 0,1-1 0,-1 1 0,0-2 0,0 2 0,-1-1-412,3 3 32,0 0-1,0-1 1,-2 1-1,2 0 1,0 0-1,-1 0 1,1 0-1,0 0 0,-1 0 1,1 0-1,0 0 1,0 0-1,-1 0 1,1 0-1,0 0 1,-1 0-1,1 0 1,0 0-1,0 0 1,-1 1-1,1-1 1,0 0-1,-1 0 1,1 0-1,0 0 1,0 0-1,-1 1 1,1-1-1,0 0 1,0 0-1,0 1 0,-1-1 1,1 0-32,-12 20-66,-13 48 372,2 8-306,-14 33 377,34-105-357,-5 29 117,8-33-133,0 1 0,0-1 0,0 1 0,0 0 0,0-1 0,0 1 0,1-1-1,-1 1 1,0-1 0,0 1 0,1 0 0,-1-1 0,0 1 0,1-1 0,-1 1 0,0-1 0,1 0 0,-1 1 0,1-1 0,-1 1 0,1-1 0,-1 0 0,1 1 0,-1-1 0,1 0 0,-1 0-1,2 1 1,-2-1 0,1 0 0,0 0 0,-1 0 0,1 0 0,-1 1 0,1-1 0,0 0 0,-1 0 0,1 0 0,-1-1 0,1 1 0,0 0 0,-1 0 0,1 0 0,-1 0 0,1 0 0,0-1-1,0 1-3,54-12-162,1-2-1,17-9 163,-21 6-776,16-6-4336,-36 11-664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6:57.943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47 5106,'1'-4'3656,"3"-14"-2147,-2 16-1477,0 0 0,-1 0-1,1 1 1,0-1-1,0 0 1,0 0-1,0 1 1,0 0 0,0-1-1,1 1 1,-1 0-1,0 0 1,1 0-1,-1 0 1,1 1 0,-1-1-1,1 0 1,-1 1-1,2 0-31,-3 0-7,1 0 1,-1 0-1,0 1 0,1-1 0,-1 0 0,0 1 1,0-1-1,1 1 0,-1 0 0,0-1 0,0 1 1,0 0-1,0 0 0,0-1 0,0 1 0,0 0 1,0 0-1,0 0 0,0 0 0,-1 0 0,1 1 1,0-1-1,-1 0 0,1 0 0,0 0 0,-1 1 1,0-1-1,1 0 0,-1 0 0,0 1 0,0-1 1,1 0-1,-1 1 0,0-1 0,0 0 0,-1 1 1,1-1-1,0 1 7,-1 5-4,-1 0 0,1 0 0,-1 0 0,-1-1 0,1 1 0,-1-1 0,0 0 0,-1 0 0,1 0 0,-2 0 4,-13 29 72,16-30-60,-1 1 1,1 0-1,0 0 1,0 1-1,1-1 1,0 0 0,0 1-1,0-1 1,1 0-1,0 1 1,0-1-1,1 1 1,0 1-13,-1-7 10,1-1 1,-1 0 0,1 1 0,-1-1 0,1 1-1,-1-1 1,1 0 0,-1 0 0,1 1 0,0-1-1,-1 0 1,1 0 0,-1 0 0,1 1 0,0-1-1,-1 0 1,1 0 0,0 0 0,-1 0 0,1 0-1,-1 0 1,1-1 0,0 1 0,-1 0-1,1 0 1,0 0 0,-1 0 0,1-1 0,-1 1-1,1 0 1,-1-1 0,1 1 0,-1-1-11,28-12 230,-23 11-184,97-45-433,-43 20-4805,-32 15-669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6:58.71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1 7411,'0'0'1537,"0"0"16,0 0-1345,0 4-96,0 2-96,0 0-16,0 0 0,3 5 0,-3 0 0,0 3-32,0 0-48,3 4-112,-3 0-224,2 3-273,-2 0-319,4-1-545,-4 2-944,3-2-1873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6:59.221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1 114 8308,'0'-1'268,"0"0"-1,1 0 1,-1 0 0,0 0 0,1 0 0,-1 1 0,1-1-1,-1 0 1,1 0 0,0 0 0,-1 0 0,1 1 0,0-1-1,0 0 1,0 0-268,26-19-196,-21 15 502,23-18-238,-17 14-65,0-1 1,0 2 0,1-1 0,5-1-4,-17 9-4,0 1 0,0-1 0,0 0 1,0 1-1,0 0 0,0-1 0,0 1 1,0-1-1,0 1 0,0 0 0,0 0 1,0 0-1,0 0 0,1-1 0,-1 2 1,0-1-1,0 0 0,0 0 0,0 0 1,0 0-1,0 1 0,0-1 0,0 0 1,0 1-1,1-1 4,-2 1-2,1 0 0,0 0 1,-1 0-1,1 0 0,-1 1 1,0-1-1,1 0 0,-1 0 1,0 0-1,0 0 0,1 0 1,-1 0-1,0 0 0,0 1 1,0-1-1,0 0 0,-1 0 1,1 0-1,0 1 2,-3 9 27,1-1 1,-1 0-1,-1 0 1,-3 6-28,-3 4 97,-1 1 0,-11 13-97,11-18 25,0 1 0,2 0 0,-8 19-25,35-54-47,0 1 0,1 0 0,11-5 47,17-7-1770,-13 14-3680,-15 9 40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6:59.751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241 70 8388,'0'2'175,"-1"-2"0,0 1 0,1-1 0,-1 1 0,0-1 0,0 0 0,0 1 0,0-1 0,0 0 0,1 1 0,-1-1 0,0 0 0,0 0 0,0 0 0,0 0 0,0 0 0,0 0 0,0 0 0,0 0 0,0 0 1,1 0-1,-1-1 0,-1 1-175,2-1 42,0 0 0,0 0 0,0-1 0,0 2 1,0-1-1,0 0 0,0 0 0,1 0 1,-1 1-1,0-1 0,0 0 0,1 0 1,-1 0-1,1 1 0,-1-1 0,0 0 0,1 1 1,-1-1-1,2-1-42,2-5-101,2 0-1,-1 0 1,1 0 0,0 2 0,0-2 101,-3 5-30,0 0 0,0 0 1,0 1-1,0-1 0,1 0 1,-1 1-1,0 0 0,1 0 0,-1 0 1,1 1-1,-1-1 0,1 1 1,2 0 29,-5 0 1,0 0 0,-1 0 0,1 0 0,0 0 0,0 1 0,-1-1 0,1 0 0,0 0 1,-1 1-1,1-1 0,0 0 0,-1 1 0,1-1 0,-1 1 0,1-1 0,0 1 0,-1-1 1,1 2-1,-1-2 0,0 1 0,1 0 0,-1-1 0,1 1 0,-1 0-1,1 0 16,-1 1-1,0-1 0,0 1 0,0 1 1,0-2-1,0 1 0,0-1 1,0 1-1,0-1 0,-1 1 1,1-1-1,-1 2 0,1-2 0,-1 1 1,1-1-1,-2 2-15,0 1 11,0 1-1,-1-1 0,1 1 1,-1-2-1,0 1 1,-1 0-1,0 1-10,-12 15-548,16-17 530,0-1 0,0 0 0,1 0 0,-1 0 0,1 0 0,-1 1 0,1-2 0,0 1 0,0 0 0,0 0 0,0 0 0,0-1 0,0 2 0,0-1 0,0-1 0,1 1 18,6 11 11,-5-6 12,-1-1 1,0 1-1,0-1 1,0 0 0,-1 1-1,0 0 1,0-1-1,0 1 1,-1-1-1,0 1 1,0 0 0,-1 0-1,0-1 1,0 1-1,0-1 1,-1 2-24,-1-1-226,0 1 0,0-1 0,-1 0 0,0 0 0,0-1 0,0 1 0,-1-2 0,0 2 0,0-2 0,-1 0 0,1 1 0,-1-1 0,-3 2 226,-2 2-3418,1-1-2446</inkml:trace>
  <inkml:trace contextRef="#ctx0" brushRef="#br0" timeOffset="523.68">270 604 7267,'18'53'4216,"10"49"-4216,-24-84-271,-1-2 0,-1 1 0,0 0-1,-1 0 1,-1 0 0,0 1 0,-1-1 0,-2 7 271,3-23-77,0 0 1,0 1 0,-1-1 0,1 0 0,0 1 0,-1-1 0,1 1 0,-1-1-1,1 0 1,-1 0 0,0 0 0,1 0 0,-1 0 0,0 0 0,0 0-1,0 1 1,0-1 0,0 0 0,0 0 0,0 0 76,0-1-18,0 0-1,1 0 1,-1 0 0,0-1 0,0 1 0,1 0-1,-1 0 1,0 0 0,0-1 0,1 1-1,-1 0 1,0-1 0,1 1 0,-1-1 0,1 1-1,-1-2 1,0 2 0,1-1 0,-1 1-1,1-1 1,-1 1 0,1-1 0,0 0 0,-1 1-1,1-1 1,0 0 0,-1 1 0,1-1-1,0 0 1,0 0 0,-1 1 0,1-1 0,0 0-1,0-1 19,-12-39 302,-6-31-302,13 43 435,-2 2-1,-1-1 0,-1 1 0,-1 1 0,-3-5-434,12 30 25,1-1-1,-1 1 0,1 0 0,-1 0 0,1 0 1,-1 0-1,0 0 0,0 0 0,0 0 1,1-1-1,-1 1 0,0 1 0,0-1 0,0 0 1,0 0-1,0 1 0,-1-1 0,1 1 0,0-1 1,0 1-1,0-1 0,0 1 0,-1 0 1,1 0-1,0-1 0,0 1 0,-1 0 0,1 0 1,0 0-1,-1 0-24,-1 2 73,-1-1 1,0 1 0,0 0-1,0 1 1,0-1-1,1 1 1,-1-1 0,0 2-74,-8 5 154,-4 3 132,1 1 0,0 0 0,1 1-1,-7 10-285,15-17 69,0 0 0,0 1 0,1 0 0,0 0 0,0 1 0,1-1 0,0 1 0,1 1 0,-1-1 0,0 8-69,4-17 2,0 0 1,-1 1-1,1-1 0,0 0 0,0 1 0,0-1 0,0 0 1,0 1-1,0-1 0,0 0 0,1 1 0,-1-1 0,0 0 0,0 0 1,0 1-1,0-1 0,0 0 0,0 1 0,0-1 0,1 0 1,-1 0-1,0 2 0,0-2 0,0 0 0,1 0 0,-1 1 1,0-1-1,0 0 0,1 0 0,-1 0 0,0 0 0,1 1 0,-1-1 1,0 0-1,0 0-2,16 1 60,19-10 11,-33 9-67,12-4-180,135-43 25,-50 8-6208,-63 24-113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7:01.209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75 63 4274,'-4'8'790,"0"0"1,0 0-1,0-1 0,-6 8-790,41-49 3445,-19 23-3338,1 0 1,0 1 0,1 0-1,-1 1 1,2 1-1,5-3-107,-19 10 0,1 1 0,-1-1 0,1 0-1,0 1 1,-1-1 0,1 1 0,0 0 0,-1 0-1,1-1 1,0 1 0,-1 0 0,1 0 0,0 0-1,-1 1 1,2-1 0,-2 0-5,-1 1-1,1-1 1,0 0-1,-1 1 1,1-1-1,-1 1 1,1-1-1,0 1 1,-1-1-1,1 1 0,-1-1 1,1 1-1,-1 0 1,0-1-1,1 1 1,-1-1-1,0 1 1,1 0-1,-1 0 1,0-1-1,0 1 1,0 0-1,1-1 1,-1 1 5,0 3-18,0 0 1,0 0-1,0 0 0,-1 0 1,0 0-1,1-1 1,-1 1-1,-1 0 0,1 0 1,0-1-1,-1 1 0,0 0 18,-2 3 32,-1 0 0,0 0 0,0-1 0,-1 1-1,0-1 1,0 0 0,0-1 0,-1 0-1,0 0 1,0 0 0,-2 0-32,46 12 112,-33-14-113,-1-1 0,0 1 0,0 1 0,0-1 0,-1 0-1,1 1 1,-1-1 0,0 1 0,0 0 0,0 0 0,0 0 0,0 0 0,-1 0 0,0 0 0,0 0 0,0 4 1,0-1 0,-1 0 1,0 0 0,0 0 0,-1 0 0,0 0 0,0 0 0,0-1 0,-1 1 0,0 0 0,-1 0-1,-2 6 6,-1 0 1,-1 0 0,0 0 0,-1-1 0,0 0 0,-1-1 0,0 1-1,-1-2 1,-10 10-7,2-6-1130,-2 0 0,-7 3 1130,7-4-3262,-3 2-2909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7:01.73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8 9124,'3'-7'3579,"2"16"-2962,3 20-912,-7 4-807,-2 1 1,-1 0-1,-3 13 1102,1-3-6012,0 22 6012,8-5-2089,-2-38 470</inkml:trace>
  <inkml:trace contextRef="#ctx0" brushRef="#br0" timeOffset="390.47">71 626 7844,'6'-10'888,"1"0"1,1 1 0,0 1-1,0-1 1,6-3-889,-5 4 15,0 0 0,1 1 0,0 1 0,0 0 0,1 0 0,0 1 0,0 0 0,0 1 0,0 0 0,1 1-1,-1 0 1,1 1 0,0 0 0,7 0-15,-19 2-14,1 0 0,0 0-1,0 0 1,0 0 0,-1 0-1,1 0 1,0 0 0,0 0 0,0 0-1,0 1 1,-1-1 0,1 0-1,0 0 1,0 1 0,-1-1-1,1 0 1,0 1 0,0-1-1,-1 1 1,1-1 0,-1 1-1,1-1 1,0 1 0,-1 0-1,1-1 1,-1 1 0,1 0-1,-1 0 15,1 0-12,-1 1-1,0-1 0,0 1 0,0-1 0,0 0 0,0 1 0,-1-1 0,1 0 0,0 1 0,-1-1 0,1 0 0,-1 1 1,1-1-1,-1 0 0,0 0 0,1 0 13,-5 7 22,0 0 1,-1 0-1,0-1 1,-5 6-23,-35 30 878,-20 14-878,11-11 138,55-46-137,0 0 0,0 0-1,0 0 1,0 0 0,0 0-1,0 0 1,0 0 0,0 0-1,0 0 1,0 0 0,0 0-1,1 0 1,-1 0 0,0 0-1,0 0 1,0 0 0,0 0-1,0 0 1,0 0 0,0 0-1,0 1 1,0-1 0,0 0-1,0 0 1,0 0 0,0 0-1,0 0 1,0 0 0,0 0-1,0 0 1,0 0 0,0 0-1,0 0 1,0 0 0,0 0-1,0 0 1,0 0 0,0 0-1,0 0 1,0 0 0,0 0-1,0 1 1,0-1 0,0 0-1,0 0 1,0 0 0,0 0-1,0 0 1,0 0 0,0 0-1,0 0 1,0 0 0,0 0-1,0 0 0,11-2 20,11-5-12,25-10-232,21-9-1113,-21 13-4222,-27 10-380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7:02.768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15 1 8436,'-1'1'220,"0"0"0,-1 0 0,1 1 0,0-1 0,0 0 1,0 1-1,0-1 0,0 1 0,0-1 0,1 1 0,-1 0 0,0-1 0,1 1 1,-1 0-1,1 0 0,0-1 0,0 1 0,-1 0 0,1 0 0,0-1 0,1 2-220,-1 52-871,1-34 1135,-1 3-350,-1-7 75,1 0-1,1 0 1,0 0-1,1 0 1,1 0-1,2 5 12,-6-27 19,1-1 0,0 1 0,0 0 0,0 0-1,0-1 1,1 1 0,0 0 0,0 0 0,0 0 0,1 0-1,0 0 1,0 0 0,0 0 0,1-2-19,1 0-7,-1 0 1,1 1-1,0-1 1,1 1-1,-1 0 1,1 0-1,0 0 1,1 1-1,-1 0 1,1 0-1,3-2 7,-8 6 1,0 1 0,-1-1 1,1 0-1,0 1 0,0-1 0,0 1 0,0-1 0,0 1 0,0 0 0,-1-1 0,1 1 0,0 0 0,0 0 0,0-1 0,0 1 0,0 0 0,0 0 0,0 0 0,0 0 0,0 0 0,0 0 0,0 1 0,0-1 0,0 0 1,0 0-1,0 1 0,0-1 0,0 1 0,0-1 0,0 1 0,0-1 0,-1 1 0,1-1 0,0 1 0,0 0 0,-1-1 0,1 1 0,0 0 0,-1 0 0,1-1 0,-1 1 0,1 0 0,-1 0 0,1 0 0,-1 0 0,0 0 1,1 0-1,-1 0 0,0 0 0,0 0 0,1 0 0,-1 0 0,0 0 0,0 0 0,0 0-1,0 6-7,1-1 0,-1 1-1,0-1 1,0 1 0,-1-1 0,0 1 0,0-1-1,-1 1 8,-11 26 42,10-27-27,0 0-1,0 1 0,1 0 1,-1-1-1,2 1 1,-1 0-1,1 0 1,0 4-15,1-8 6,1 1 0,0 0-1,0-1 1,1 1 0,-1 0 0,1-1 0,1 2-6,7 22 39,-9-23-13,-1 0 0,0 0 1,0 0-1,0 0 0,0 0 1,0 0-1,-1 0 0,0 0 1,0 0-1,0 0 0,0 0 1,-1-1-1,1 1 0,-1 0 1,0-1-1,0 0 0,0 1 0,-3 2-26,-24 22-1056,-5-8-4279,14-13-1473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09:55.788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152 183 5475,'0'0'165,"-1"-24"3051,1 24-3074,0-1 0,0 0 0,0 0 0,0 1 0,0-2 0,0 1 0,0 0 0,0 1 0,0-1 1,-1 0-1,1 0 0,0 1 0,0-1 0,-1 0 0,1 1 0,-1-1 0,1 0 0,-1 1 0,1-1 0,-1 1 0,1-1 0,-1 1 0,0-1-142,1 1 179,-3 14 95,3 195-170,2-193-69,2-13 180,-3-4-196,0 0 0,0-1-1,-1 1 1,1 0 0,-1 0 0,1 0-1,-1-2 1,1 2 0,-1 0 0,0 0-1,1-1 1,-1 1 0,0 0 0,0-1-1,0 1 1,0 0 0,0-3-19,-6-232 835,2 300-963,2-41 185,1 2 0,2 22-57,0-38-647,0-1 0,1 1-1,-1-2 1,1 2-1,1 0 1,1 1 647,1 0-3836,3-1-2514</inkml:trace>
  <inkml:trace contextRef="#ctx0" brushRef="#br0" timeOffset="567.5">127 34 7107,'-1'-1'134,"1"1"-1,-1 0 0,1-1 1,0 1-1,-1-1 1,1 1-1,-1 0 0,1-1 1,-1 1-1,1 0 0,-1-1 1,0 1-1,1 0 1,-1 0-1,1 0 0,-2 0 1,2-1-1,-1 1 1,0 0-1,1 0 0,-1 0 1,1 0-1,-1 0 0,0 0 1,1 1-1,-1-1 1,1 0-1,-1 0 0,0 0 1,1 1-134,-2 0 99,1 0 1,0 0 0,-1 0-1,1 0 1,0 0 0,0 0-1,0 2 1,0-2 0,0 0-1,0 1 1,-1 1-100,-16 51-564,15-46 912,-3 12-318,2 1-1,0 0 0,0-1 1,2 1-1,1 1 0,0-1 1,2 9-30,0-13 16,0 0 1,2-1 0,0 0-1,0 0 1,1-1-1,1 1 1,1-1 0,0 0-1,7 12-16,-11-24 19,0 0-1,0 1 1,0-2-1,0 1 0,0-1 1,1 1-1,-1 0 1,1-1-1,1 0 1,-1 0-1,0 0 0,0 0 1,0-1-1,0 0 1,0 2-1,0-2 1,1 0-1,-1-1 0,0 1 1,1 0-1,-1-1 1,0 0-1,1 0 1,-1 0-1,1 0 0,-1 0 1,1-1-1,-1 0 1,0 1-1,0-1 1,1-1-1,2-1-18,11-3 73,1-3 0,-1 1 0,-1-2 0,2-1 0,3-4-73,-6 5 25,0-1-1,-1-1 1,0 0-1,-1-1 1,0-1-1,-1 0 1,4-6-25,-12 14 17,0-1 0,0 1 0,0-1 0,-1 0 1,0 0-1,0 0 0,-1-1 0,0 2 0,0-2 0,-1 1 1,0-1-1,0 1 0,-1-1 0,0 1 0,0-1 1,0 1-1,-1-2 0,0 2 0,0 0 0,-1-1-17,0-2 8,-1 1 0,0 1-1,0-2 1,-2 2 0,1-1 0,0 0-1,-1 2 1,0-2 0,0 2-1,0-1 1,-1 1 0,-1 0 0,1 1-1,-1-1 1,0 1 0,0 1-1,0-1 1,-2 2 0,1-1 0,0 0-1,0 2 1,0 0 0,-1 0-1,1-1 1,-1 2 0,0 1 0,-1-1-1,2 1 1,-1 1 0,0 0 0,0 0-1,0 0 1,0 1 0,0 1-1,1 0 1,-2 1 0,1-1-8,-5 3-147,0 0 0,0 1 0,0 1 0,0 0 0,-12 10 147,-31 27-6039,29-19-1287</inkml:trace>
  <inkml:trace contextRef="#ctx0" brushRef="#br0" timeOffset="3031.13">1403 523 3137,'-15'-36'3222,"13"31"-2888,1 0 0,-1-1 1,-1 1-1,0-1 0,0 2 1,0-1-1,0-1-334,1 5 28,1-1 1,-1 1-1,0-1 1,1 1-1,-1 0 0,0 0 1,0 0-1,0 0 1,0 0-1,0-1 1,0 1-1,0 0 0,-1 1 1,1-1-1,0 1 1,0 0-1,0 0 0,-1 0 1,-1 0-29,1 0 4,-3-1 76,-1 1-1,1 0 0,-1 0 1,0 1-1,1 0 0,0 0 0,0 0 1,0 2-1,0-1 0,0 0 0,0 0 1,0 1-1,-1 2-79,-2 0 236,1-1 418,17 3-314,-3-6-315,-1 0 0,1 0 1,-1-1-1,0 0 0,1 0 0,-1-1 1,1 1-1,-1-1 0,1 0 0,-1-2 1,4 0-26,21-3 95,1 3-10,-5 0-47,-1 0 0,0-2 0,1 0 0,-2-3 0,1 0-38,-37 7 200,-1 1-1,0 0 1,-1 1-1,-4 3-199,-35 1 261,40-4-183,1 0-1,0 0 0,-10 4-77,69-8 358,-5 2-387,40-7 29,-74 7-190,36-9-527,-16 3-4982,-13 1-1467</inkml:trace>
  <inkml:trace contextRef="#ctx0" brushRef="#br0" timeOffset="12633.23">430 728 6115,'-13'3'4798,"14"-1"-2329,7-1-1970,4-1-468,0 0 0,-1 1 0,1 1 0,-1 1 0,10 2-31,-20-5-2,0 1 0,-1 0 1,1-1-1,0 1 1,-1-1-1,1 1 0,0 0 1,-1-1-1,2 1 0,-2 0 1,1 0-1,-1 1 0,1-2 1,-1 1-1,0 0 0,1 0 1,-1 0-1,0 0 0,0 0 1,0 0-1,0-1 0,0 1 1,0 0-1,0 0 0,0 0 1,0 0-1,0 0 1,0 1-1,0-1 0,-1 0 1,1-1-1,0 1 0,-1 0 1,1 0-1,-1 0 2,-15 40-106,14-37 99,-42 84-14,44-89 21,0 1 0,0 0 0,0 0 0,0 0 0,0 0 0,1 0 0,-1 0 0,0 0 0,0 0 0,0 0 0,0 0 0,0 0 0,0 0 1,0 0-1,0 0 0,0 0 0,0-1 0,0 1 0,0 0 0,0 0 0,0 0 0,1 0 0,-1 0 0,0 0 0,0 0 0,0 0 0,0 0 0,0 0 0,0 0 1,0 0-1,0 0 0,0 0 0,0 0 0,1 0 0,-1 0 0,0 0 0,0 0 0,0 0 0,0 1 0,0-1 0,0 0 0,0 0 0,0 0 0,0 0 0,0 0 1,0 0-1,0 0 0,0 0 0,1 0 0,-1 0 0,0 0 0,0 0 0,0 0 0,0 0 0,0 1 0,0-1 0,0 0 0,0 0 0,0 0 0,0 0 0,0 0 1,0 0-1,0 0 0,0 0 0,0 0 0,0 0 0,0 0 0,0 1 0,0-1 0,0 0 0,12-6 47,12-10 32,-17 10-144,0 0 0,-1-2-1,1 2 1,-1-2-1,1-1 66,9-13-7401,-13 19 1155</inkml:trace>
  <inkml:trace contextRef="#ctx0" brushRef="#br0" timeOffset="13164.81">458 654 6819,'-4'-1'296,"0"-1"-1,0 1 1,-1 1-1,1-1 1,-1 1-1,0 0 1,1 0-1,0 0 1,0 0-1,-1 1 1,1 0-1,0 1 1,0-1-1,0 0 1,0 1-1,0 0 1,0 0-1,0 0-295,-2 3 48,0-1-1,0 1 1,0 1-1,0-1 1,1 0 0,0 2-1,0-2 1,1 2-1,0 0 1,-1 1-48,2-1 12,-1 2 1,1-2 0,1 2-1,-1-2 1,2 2-1,-1 0 1,1-1 0,0 1-1,0-1 1,1 0-1,0 0 1,0 1-1,1 0 1,0-1 0,1 1-1,0-1 1,0 1-1,0-2 1,1 2 0,0-1-1,4 7-12,-2-6-1,0 2-1,0-1 0,1-1 0,0 0 1,2 1-1,-1-2 0,0 1 1,1-2-1,0 1 0,0-1 1,0 0-1,1-1 0,0 1 1,0-2-1,2 0 0,2 2 2,-9-6-2,0 0 0,0-1 0,0 1 0,0-1-1,1 1 1,-1-1 0,0-1 0,0 1 0,0-1-1,0 1 1,0-1 0,0 0 0,0-1 0,1 1 0,-2-2-1,1 2 1,0-1 0,-1 0 0,1 0 0,-1-1 0,0 0-1,1-1 3,11-9 11,-1-1-1,-1-1 1,1 0 0,1-6-11,-4 7 8,4-5 38,0-2-1,0 0 1,-2-1-1,-1 0 1,-1-1 0,-1 0-1,2-8-45,-10 24 47,0 1 1,0-2-1,-1 0 0,0 1 0,0-1 0,0 0 1,-1 0-1,0 1 0,-1-1 0,0 1 0,0-1 0,0 0-47,-1 2 45,0 1 0,0 0-1,0 0 1,0 0-1,-1 0 1,0 0 0,0 1-1,0-1 1,-1 0-1,1 1 1,-1 1-1,0-1 1,0 0 0,0 0-1,0 1 1,-1 1-1,-3-4-44,0 2 15,2 1 0,-1 0 0,0-1 0,0 1 0,0 1 0,-1 0 0,1 1 0,0 0 0,-1 0 0,1 0 0,-2 1 0,2 0 0,-1 0 0,1 1 0,-1 0 0,1 0 0,-1 1-15,-3 1-73,0 1 0,-1 2 1,2-1-1,-1 0 0,1 2 1,0-1-1,1 2 0,-1-1 1,1 1-1,-6 6 73,3-1-280,-42 45-6374,34-31-437</inkml:trace>
  <inkml:trace contextRef="#ctx0" brushRef="#br0" timeOffset="14149.18">1753 998 5619,'-11'-7'4308,"9"5"-4041,0 0 0,0 1 0,0 0 0,0 1 0,0-1 0,0 0 0,0 1 0,-1-1 1,1 1-1,0 0 0,-2 0-267,26 18 392,-13-13-353,0-2 0,0 0 0,1 0 0,0-1-1,-1 1 1,1-1 0,-1-1 0,1 0 0,0-1 0,0 0-39,21-2 60,0-1-1,15-5-59,-20 3 138,1 1 0,18 1-138,-60 3 156,-1-1-56,0 2 1,0 0-1,1 0 1,-1 3-101,-24 3 128,0 0 0,-1-3 0,-21-1-128,10 1 240,81 20-256,-19-19-60,1 0 0,1-2 0,-1 1-1,0-2 1,0 0 0,0 1 0,0-2 0,9 0 76,8 2-429,-25-3-390,1 0 1,-1 0-1,1 0 0,-1-1 1,1 1-1,-1-1 0,1 0 0,-1 0 819,14-4-7619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10:17.15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11 62 6579,'-2'0'5048,"-6"3"-4192,10 4-818,0 0 1,1-1-1,-1 0 0,2 1 0,-1-1 1,1 0-1,-1-1 0,2 1-38,-4-5 17,0 1-1,0-1 1,0 0 0,0 0-1,0 0 1,0 0 0,1 0 0,-1 0-1,0 0 1,1 0 0,-1 0-1,1-1 1,-1 1 0,1-1-1,-1 1 1,1-1 0,-1 1 0,1-1-1,-1 0 1,1 0 0,0 0-1,-1 0 1,1 0 0,-1 0-1,1 0 1,0-1 0,-1 1 0,1 0-1,-1-1 1,1 1 0,-1-1-1,1 0 1,-1 1 0,0-1-1,1 0 1,0 0-17,13-11-295,0 0 1,-1-1-1,9-11 295,23-20-5610,-16 19-1286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10:19.798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11 353 2929,'-10'-13'6481,"10"13"-6263,0 0-42,0 0-42,0 0-22,0 0-13,0 0-9,0 0-26,0 0-26,0 0-6,0 0-3,0 0-10,25 12 400,-3-6-294,-1 0 0,1-2 1,0 0-1,-1-2 1,1 0-1,18-2-125,336 6 616,-366-6-1463,1 0 0,-1 1 1,0 0-1,1 1 0,-1 0 0,0 0 0,0 1 0,0 1 0,0 0 847,-7-2-4586</inkml:trace>
  <inkml:trace contextRef="#ctx0" brushRef="#br0" timeOffset="537.54">246 354 2177,'32'2'1461,"31"5"-1461,-30-3 799,33 0-799,-49-4 489,-3 1 174,-1-1 1,1-1 0,0 0 0,0-1-1,0 0 1,10-4-664,-17 4 77,1 0 1,-1 0-1,1 1 0,-1 0 0,7 0-77,6 1-5108,-20 0 922</inkml:trace>
  <inkml:trace contextRef="#ctx0" brushRef="#br0" timeOffset="1790.91">1357 124 5971,'-2'-1'4221,"-6"-1"-2330,16 31-1836,-1-10-14,8 26 39,-9-32-19,-1 0 1,-1 1-1,0 0 1,0 7-62,-3-18 17,-1 0 1,0 0-1,1 0 0,-1 0 1,0 0-1,-1 0 0,1 0 0,-1-1 1,1 1-1,-1 0 0,0 0 1,0 0-1,0 0 0,0-1 1,0 1-1,-1 0 0,1-1 1,-1 1-1,0-1 0,0 0 1,0 0-1,-2 2-17,1-2 16,0 0 1,0 0-1,-1-1 1,1 1-1,0-1 1,-1 0-1,0 0 1,1 0-1,-1-1 1,1 1-1,-1-1 1,0 0-1,1 0 0,-1 0 1,0-1-1,1 1 1,-4-1-17,3 0-145,0 0 0,1 1 0,-1-1 0,0-1 0,0 1 1,0-1-1,1 1 0,-1-1 0,1 0 0,0 0 0,-1-1 0,1 1 0,0-1 0,0 1 1,0-1-1,0-1 145,-4-13-5315,7 8-218</inkml:trace>
  <inkml:trace contextRef="#ctx0" brushRef="#br0" timeOffset="2115.04">1397 1 6899,'-5'5'1489,"2"-5"16,3 2-1185,-3-2-288,3 0-513,0 0-975,0 0-1217,4-2-2962</inkml:trace>
  <inkml:trace contextRef="#ctx0" brushRef="#br0" timeOffset="2457.67">1478 203 5843,'0'0'124,"0"1"0,-1-1 0,1 0 0,0 0 0,0 0 1,0 0-1,0 0 0,0 1 0,0-1 0,0 0 0,0 0 1,0 0-1,0 0 0,0 1 0,0-1 0,0 0 0,0 0 0,0 0 1,0 0-1,0 1 0,0-1 0,0 0 0,0 0 0,0 0 1,0 0-1,0 1 0,0-1 0,0 0 0,0 0 0,0 0 1,0 0-1,0 0 0,0 1 0,0-1 0,1 0 0,-1 0 0,0 0 1,0 0-1,0 0 0,0 0 0,0 0 0,0 1 0,1-1 1,-1 0-1,0 0 0,0 0 0,0 0-124,14 3 2183,22-3-2219,-28 0 506,54-3 283,-31 1-1978,1 1-6240,-32 1 1107</inkml:trace>
  <inkml:trace contextRef="#ctx0" brushRef="#br0" timeOffset="2787.79">1551 102 6275,'0'1'5146,"0"3"-4407,1 11-618,0 0 0,1 0 0,1 0 0,0 0 0,1-1 0,4 11-121,-4-16-267,-1 0 0,1 0 0,0-1 1,1 1-1,0-1 0,0 0 0,1 0 1,0-1-1,1 0 0,-1 0 0,3 1 267,1-1-3641,2-2-2669</inkml:trace>
  <inkml:trace contextRef="#ctx0" brushRef="#br0" timeOffset="3151.87">1902 96 6307,'0'0'216,"-1"-1"0,1 1 0,0-1 0,0 0 1,0 1-1,-1-1 0,1 1 0,0-1 0,0 1 0,-1-1 0,1 1 0,0-1 1,-1 1-1,1-1 0,-1 1 0,1 0 0,-1-1 0,1 1 0,-1 0 1,1-1-1,-1 1 0,1 0 0,-1-1 0,1 1 0,-1 0 0,1 0 0,-1 0 1,0 0-1,1 0 0,-1-1 0,0 1-216,0 1 68,-1 0 0,1 1 1,-1-1-1,1 0 0,0 0 0,0 1 0,-1-1 0,1 1 1,0-1-1,0 1 0,1-1 0,-1 1-68,-2 3 34,0-1-1,1 1 1,0 0 0,0 0 0,0 0-1,1 0 1,0 0 0,0 0 0,0 1-1,0-1 1,1 0 0,0 0 0,0 1-1,0-1 1,1 0 0,1 5-34,2 7-285,1 0 0,1 0-1,1-1 1,3 7 285,11 27-6173,-16-35-878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10:31.272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847 1012 4722,'0'0'1254,"0"0"-80,-4 0 2852,4 0-3920,-12 1 88,1 0 0,0 1 0,0 1 0,0 0 0,-9 3-194,-37 10 231,36-12-189,-1-2 1,1-1-1,-1 0 0,0-2 1,0 0-1,1-1 1,0-3-1,-7 0-42,-50-15 16,42 12-13,-1-2-1,1 0 1,1-3 0,0-1-1,1-2 1,-1-3-3,19 9 7,1-1-1,-1-1 1,2-1 0,0 0-1,1 0 1,1-2 0,-2-1-7,7 7 19,0-1 0,1-1 0,-1 0 0,2 1 0,0-1 0,0 0 0,1-1 0,1 0 0,0 1 0,-1-1 0,1-10-19,-2-10 28,0-25 24,6 2-52,2 1 0,4-12 0,-4 52-1,2 1 0,-1-1-1,0 1 1,1 0 0,1 0 0,0 2-1,1-1 1,1 0 0,-1 0 0,1 1-1,1 1 1,0-1 0,1 0 1,42-52 0,-41 47-3,2 0 1,0 1 0,1 1 0,-1 0 0,1 0-1,2 2 1,11-9 2,28-14 32,-58 33-26,1 0 0,0 1 0,0-2 1,-1 2-1,1-1 0,-1 1 0,1 0 0,-1 0 0,1 0 0,-3 0-6,-11-3 1,1 0-1,-1 2 1,1 1 0,-1 0-1,-9 1 0,23 0 0,49 1-77,12 7 74,-18-4 3,-1 1 0,21 9 0,-60-14 0,-1 0 0,1 0 0,0 0-1,0 0 1,-1 0 0,1 1 0,0-1 0,-1 0 0,1 1 0,-1-1-1,1 0 1,0 1 0,-1-1 0,1 0 0,-1 2 0,2-2 0,-2 1-1,1-1 1,-1 1 0,1 0 0,-1-1 0,0 1 0,1-1-1,-1 1 1,0 0 0,0-1 0,1 1 0,-1 0 0,0-1 0,0 1-1,0 0 1,0-1 0,0 1 0,0 0 0,0 1 0,0-2 0,0 1-1,0 0 1,0-1 0,0 1 0,0 0 0,-1-1 0,1 1 0,-2 4 8,-2 1 0,2-1 0,-1-1 0,0 2 0,-4 2-8,-5 11 11,10-13-16,-1-1 0,1 1-1,0 0 1,1 0 0,0 0-1,0 0 1,0 0 0,1 0-1,-1 1 1,1-2 0,1 7 5,5 21-6427,-3-22-307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10:42.23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76 6899,'0'0'1537,"0"0"-171,0 0-737,0 0-402,27 2-35,19-10-384,-8 2 138,-1-1 0,3-3 54,-26 5-1376,-1 0 0,1 0-1,-1-2 1,5-2 1376,8-7-5045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10:51.236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1274 508 5699,'-3'1'370,"1"0"1,-1 0 0,1 0 0,0 0-1,-1 1 1,1-1 0,0 1 0,0 1 0,0-1-1,0 0 1,0 0 0,0 0 0,1 0-1,-2 2-370,2-4 53,1 1 0,0 1-1,-1-2 1,1 1 0,0 0-1,-1-1 1,1 1 0,0 0-1,0 0 1,0-1 0,0 1-1,0 0 1,0-1 0,0 1-1,0 0 1,0 0 0,0-1-1,0 1 1,0 0 0,0 0-1,1-1 1,-1 1-53,1 0 9,-1 1 0,1-2 1,0 1-1,0 0 0,-1 0 0,1-1 0,0 1 1,0-1-1,0 1 0,0-1 0,0 1 0,0-1 1,0 1-1,0-1 0,0 0 0,0 0 1,0 1-1,0-1 0,0 0 0,1 0-9,29 2 33,1 0-1,-1-3 1,24-2-33,-29 1-111,-1-1-1596,-8 0-2423,-2-1-2252</inkml:trace>
  <inkml:trace contextRef="#ctx0" brushRef="#br0" timeOffset="427.37">1779 210 6883,'-11'9'3605,"-6"17"-3521,14-21 176,-5 6-208,0 2 1,2-1-1,0 1 0,0-1 1,1 2-1,1-1 1,0 1-1,-2 12-52,5-23 23,1 1 0,-2 0 0,2-1-1,0 1 1,0-1 0,0 1-1,0 0 1,2-1 0,-2 1 0,1-1-1,0 1 1,0-1 0,0 1 0,0-1-1,0 0 1,1 1 0,0-1-1,-1 0 1,1 0 0,0-1 0,0 2-1,1-1 1,-1-1 0,1 0 0,-1 1-1,1-1 1,0 0 0,-1 1-1,1-2 1,1 1 0,-1-1 0,1 1-1,-1-1 1,0 0 0,0 0 0,3 0-23,-3 0 29,0-1 0,0 0 0,0 0 0,0 0 0,1 0 0,-1 0 0,0-1 0,0 1 0,0-1 0,0 0 0,0 0 1,0 0-1,0 0 0,0-1 0,-1 1 0,1-1 0,0-1 0,-1 2 0,0-1 0,2 0 0,-2-1-29,1 1 21,0-1-1,0-1 1,-1 2 0,0-1-1,1 0 1,-1-1-1,0 0 1,-1 1-1,1 0 1,0-1 0,-1 1-1,0-2 1,0 2-1,0-1 1,0 0-1,0-1 1,-1 0-21,0 5 11,0-1 1,0 0 0,0 0-1,0 0 1,0 0-1,-1 0 1,1 0-1,0 0 1,0 1-1,-1-1 1,1 0-1,-1-1 1,1 1-1,0 1 1,-1-1-1,0 0 1,1 0-1,-1 1 1,1-1-1,-1 1 1,0-1 0,0 0-1,1 1 1,-1-1-1,0 1 1,0 0-1,1-1 1,-1 1-1,0 0 1,0-1-1,0 1 1,0 0-1,0 0 1,0 0-1,1 0 1,-1 0-1,0 0 1,0 0-1,0 0 1,0 0 0,0 0-1,0 0 1,0 0-1,1 1 1,-1-1-1,0 0 1,0 1-12,-5 0-17,1 1 1,0 0 0,0-1-1,1 3 1,-1-2 0,1 0-1,0 1 1,-1 0 16,-19 23-100,8-8-1976,4-9-3885,11-9 657</inkml:trace>
  <inkml:trace contextRef="#ctx0" brushRef="#br0" timeOffset="927.05">1767 152 5314,'-4'1'262,"1"0"0,-1-1 0,1 1 0,-1 1 0,1-1 0,-1 0 0,1 1 0,0 1 0,-1-1 0,1 0 0,0 0 0,0 0 0,0 1 0,0-1 0,1 2 0,-1-2 0,-1 4-262,-4 5 158,-1 0 0,2 1 0,0 0-1,-2 5-157,4-3 50,0-1-1,1 1 0,-1 0 0,2 1 0,1-1 0,0 1 0,1-1 0,0 0 1,1 1-1,0 0 0,1 0 0,1-1 0,2 11-49,-2-15 16,1 0 1,0 0-1,0 1 1,0-2-1,1 1 0,0-1 1,0 1-1,1-2 0,0 1 1,1 0-1,1-1 1,-1 0-1,1 0 0,0-1 1,0 1-1,1-2 0,0 0 1,0 1-1,5 0-16,-6-4 35,0 0 0,1 0 0,0-2-1,-1 1 1,0-1 0,1 0 0,0-1 0,0 1-1,-1-2 1,1 1 0,-1-1 0,0 0 0,2-1-1,-2 1 1,0-2 0,0 0 0,0 0 0,3-1-35,12-6 34,0-1 0,-1-2 0,1 0 1,-2-2-1,1-1-34,-8 6 19,0-1-1,0-1 1,-2 1 0,0-2-1,0 0 1,0-1 0,-2 1 0,0-2-1,-1 0 1,1-3-19,-4 8 65,-1 2 0,-1-2 1,-1 0-1,1 0 0,-1 0 1,-1 1-1,0-2 0,0 2 0,-1-2 1,0 2-1,-1-2 0,0 1 0,0 1 1,-1-2-1,0 2 0,-1-1 0,-3-9-65,-1 4 71,0-1 0,0 1 0,-2 0-1,1 0 1,-3 2 0,2 0 0,-2-1-1,0 2 1,-1 0 0,0 0-71,4 5 3,-1-1 0,-1 2 0,1-1 1,0 2-1,0-1 0,-1 1 0,-1 0 0,1 2 0,0-1 1,-1 0-1,0 2 0,0 0 0,0 0 0,1 1 1,-5 0-5,-1 2-2,0 0-1,0 1 0,1 1 0,-1 1 0,1 0 0,0 0 0,-1 1 0,-6 6 4,11-7-376,1 2-1,0 0 1,0 0-1,0 1 1,1 0-1,0 1 1,1-1 0,0 2-1,-1-1 1,2 2-1,0-1 1,-1 3 376,2-2-3629,3 0-2392</inkml:trace>
  <inkml:trace contextRef="#ctx0" brushRef="#br0" timeOffset="2294.08">1772 585 5058,'0'0'1174,"0"0"-88,3 25 317,-3-13-1250,0 1-1,0 0 1,-1 0-1,0-1 1,-1 0 0,-1 1-1,0-1 1,0 0-1,-1 0 1,-1 0-1,0-2 1,0 2-1,-1-1 1,-1-1-1,0 1 1,0 0 0,-1-2-153,-21 24-6,-1-1 1,0-2-1,-3-2 1,0 0 0,-7 2 5,14-13-105,-1 0 0,-2-2 0,1-2 1,-1 0-1,-1-1 0,0-3 0,-8 3 105,-103 17-4669,-138 9 4669,271-37-67,-160 12 316,133-12 387,1-2 0,0-2-1,-31-6-635,6-3 669,-8 1-227,2-4 0,-5-4-442,49 12 270,1-1-1,0-1 1,0 0-1,1-2 0,0 1 1,1-3-1,0 0 1,-7-7-270,21 17 91,0-2 7,1 2 0,-1 0 0,0 0 0,0 0 0,0-1 0,0 2 0,0 0 0,0-1 0,-3 1-98,6 2 54,1 0-11,7 20-38,-4-11-4,0-1 0,0 1 0,-1-1 1,-1 2-1,1-2 0,-1 2 0,-1-2 0,0 2 1,0-1-1,0 0 0,-1 0-1,-2 7 14,0-1 0,0 1-1,-2-1 1,1 0 0,-3 0 0,1-1-14,6-13 3,0-1 1,0 0-1,0 0 1,0 1-1,0-1 1,0 0-1,0 0 1,-1 0-1,1 1 0,0-1 1,0 0-1,0 0 1,0 0-1,0 1 1,0-1-1,0 0 1,-1 0-1,1 0 1,0 0-1,0 1 0,0-1 1,0 0-1,-1 0 1,1 0-1,0 0 1,0 0-1,0 0 1,0 0-1,-1 0 1,1 1-1,0-1 1,0 0-1,-1 0 0,1 0 1,0 0-1,0 0 1,0 0-1,-1 0 1,1 0-4,-3-10 99,0-12-13,3-10-47,-1 15 43,1-1-1,0 0 0,1 0 1,1 1-1,1-1 0,0 1 0,3-6-81,-6 23 5,1-1-1,-1 1 0,1 0 1,0-2-1,-1 2 1,1 0-1,-1 0 0,1-1 1,1 1-1,-2 0 0,1 0 1,0 0-1,-1 0 1,1 0-1,0 0 0,-1 0 1,1 0-1,0 0 0,-1 0 1,1 0-1,0 0 1,-1 1-1,1-1 0,0 0 1,-1 0-1,1 2 0,-1-2 1,1 0-1,-1 1-4,27 10 18,-20-8-3,7 3 22,1-1-1,1-1 1,-1 0-1,0-1 0,2-1 1,-2 0-1,2-2 0,-2 1 1,0-2-1,2 0 1,3-2-37,9-3-619,-1 1 1,13-7 618,51-21-5881,-44 13-1344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10:56.86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24 192 5987,'0'-8'4194,"-1"9"-1811,-1 23-1318,0 38-1616,2-49 559,0-1 1,1 1-1,1 0 1,1-1-1,-1 1 0,2-1 1,0 1-9,15 27-6817,-18-39 497</inkml:trace>
  <inkml:trace contextRef="#ctx0" brushRef="#br0" timeOffset="340.59">0 82 7635,'0'-3'1601,"0"3"-16,3-5-1441,0 2-144,1 0-192,-2 1-656,1 2-737,1 0-1200,1 0-2770</inkml:trace>
  <inkml:trace contextRef="#ctx0" brushRef="#br0" timeOffset="686.67">184 174 6883,'4'0'1633,"0"2"16,1-2-1009,-1 0-304,3-2-96,-2 2-96,1-2-64,-1-3-48,1 3-16,1-1-32,-2 3-16,0-4-96,1-1-368,-2 3-1169,1 2-1344,-2-4-3298</inkml:trace>
  <inkml:trace contextRef="#ctx0" brushRef="#br0" timeOffset="687.67">239 284 3842,'0'0'704,"0"0"0,0 0-784,3 0-608,2-3-128,-1-4-529,-1-2-976</inkml:trace>
  <inkml:trace contextRef="#ctx0" brushRef="#br0" timeOffset="1069.63">205 215 5923,'0'0'1499,"0"0"-82,0 0-537,0 0-336,0 0-167,30-7 1813,-29 6-2186,29-7 153,0-3 0,0 0 0,-1-2 0,27-16-157,14-13-509,-69 42-38,-1 0-761,0 0-738,-1 0-1427,-3 3-2106</inkml:trace>
  <inkml:trace contextRef="#ctx0" brushRef="#br0" timeOffset="1406.74">332 67 6499,'-12'-16'5904,"19"28"-4415,2 4-1460,0 1 1,-2-1-1,0 1 1,0 1-1,-2-1 0,0 2-29,21 57-771,-15-56-516,0-7-4614,-6-9-208</inkml:trace>
  <inkml:trace contextRef="#ctx0" brushRef="#br0" timeOffset="1756.33">557 7 6211,'0'0'103,"0"0"0,0 0 0,0 0 0,0 0 0,0 0 0,0-1 0,0 1 0,0 0 0,-1 0 1,1 0-1,0 0 0,0-1 0,0 1 0,0 0 0,0 0 0,0 0 0,0 0 0,0-1 0,0 1 0,0 0 0,0 0 0,0 0 0,0-1 1,0 1-1,1 0 0,-1 0 0,0 0 0,0 0 0,0 0 0,0-1 0,0 1 0,0 0 0,0 0 0,0 0 0,1 0 0,-1 0 0,0-1 0,0 1 1,0 0-1,0 0 0,0 0 0,1 0 0,-1 0 0,0 0 0,0 0 0,0 0 0,0 0 0,1 0 0,-1 0 0,0 0 0,0 0 0,0 0 1,0 0-1,1 0 0,-1 0 0,0 0 0,0 0 0,0 0 0,0 0 0,1 0 0,-1 0 0,0 0 0,0 0 0,0 0 0,0 0 0,1 0 0,-1 0 1,0 0-1,0 1-103,13 15 1281,12 29-1753,-19-31 475,-1 0-1,0 1 1,-1-1 0,0 1 0,-1 0 0,0 5-3,2 29-5858,-4-44 4581,2 12-5737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11:28.492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34 1 7860,'-10'2'1824,"0"1"33,2 0-944,2-3-705,6 2-64,0-2-96,0 3-96,0-3-96,3 0-160,2 3-1553,1-3-1489,1 0-3809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11:30.912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996 1960 5266,'-21'2'587,"2"0"0,-2 2 0,2-1 0,-1 2 0,1 2 0,-5 1-587,2 0 601,-1-2-1,-1 1 0,1-3 0,-15 2-600,-2-3-25,-1-2-1,0-2 0,-30-5 26,52 4-9,2-1 0,-2-1 1,1-2-1,-1 0 0,2 0 0,0-1 0,-1-2 0,2 1 0,-3-4 9,-12-8-1,4-1 0,-13-10 1,29 22 12,1-2 0,0 2-1,1-2 1,-1 0 0,2-1-1,1 0 1,-4-6-12,-14-33 122,2 1 1,4-3 0,2 1 0,2-2-1,2 0 1,-2-21-123,-5-28 119,11 62 11,0-1 0,3 0 1,0-43-131,6 34 37,3-1 0,1 1 0,3 2 0,2-2 0,2 1-1,2 0 1,6-6-37,9-26 14,54-138 92,-59 168-73,3 1 0,2 0 0,3-3-33,0 9 3,-13 21 6,-3-1 1,14-25-10,-28 49 4,-1 1 0,0 0 0,0-1-1,0 1 1,0 0 0,0-1 0,1 1 0,-1 0 0,0-2 0,0 2 0,0-1 0,0 1 0,0 0 0,0-1 0,0 1 0,0 0 0,0-1 0,0 1 0,-1 0 0,1-1 0,0 1 0,0-1 0,0 1 0,0 0 0,0-1 0,-1 1 0,1 0 0,0 0 0,0-1 0,-1 1 0,1 0 0,0 0 0,0-1 0,-1 1 0,1 0-4,-18-4 51,-30 6-50,38-1 13,-33 3-1,-19 3-10,62-7-22,24-5-90,26-2 108,-2 1-1,27 2 2,-74 4 1,0 1-1,-1-1 1,1 0-1,0 1 1,-1-1-1,1 0 1,-1 1-1,1-1 1,-1 1-1,1-1 0,-1 1 1,1-1-1,-1 1 1,1-1-1,-1 2 1,1-2-1,-1 1 1,0 0-1,0-1 1,1 1-1,-1-1 1,0 0-1,0 1 1,2 0-1,-2-1 1,0 1-1,0 0 1,0-1-1,0 1 1,0 0-1,0 0 0,0-1 1,-2 1-1,2 0 1,0-1-1,0 2 1,0-1-1,-6 31-1087,5-30 606,-13 72-257,2-10-4585,4-32-13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11:41.153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16 58 4418,'-6'-14'2065,"5"10"-1640,-1 1-1,1-1 1,0 0-1,0 1 1,0-1-1,0 0 1,1 0-1,0-1-424,-1 5 24,1 0-1,0 0 1,0-1 0,0 1-1,0 0 1,0 0 0,0-1-1,0 1 1,0 0 0,0 0-1,0-1 1,0 1 0,0 0-1,0 0 1,0-1-1,0 1 1,0 0 0,0 0-1,0-1 1,0 1 0,0 0-1,1 0 1,-1-1 0,0 1-1,0 0 1,0 0 0,0-1-1,0 1 1,1 0-1,-1 0 1,0 0 0,0 0-1,0-1 1,1 1 0,-1 0-1,0 0 1,0 0 0,1 0-1,-1 0 1,0 0 0,0 0-1,1 0 1,-1-1-1,0 1 1,0 0 0,1 0-1,-1 0 1,0 0 0,0 0-1,1 0 1,-1 0 0,0 1-1,0-1 1,1 0-1,-1 0 1,0 0 0,0 0-1,1 0 1,-1 0 0,0 0-1,0 0 1,0 1 0,1-1-1,-1 0 1,0 0 0,0 0-1,0 1 1,1-1-24,3 1-55,68 14 447,-39-9-199,0 2 1,5 3-194,-26-7 64,0 0 1,0 2-1,-1-1 0,0 2 1,0-1-1,-1 1 1,8 7-65,-13-10 15,0 1 1,-1-1-1,1 1 1,-1 0-1,0 1 1,0-1-1,-1 1 1,1 0-1,-1-1 1,0 1-1,-1 1 1,0-1-1,0 0 1,0 2-16,0 1 46,-1 0 0,0 0 0,0 0 0,-1 1 1,-1-1-1,0 0 0,0 0 0,0 0 0,-3 5-46,-3 11 97,-2-1 1,0 0-1,-2-1 1,-1-1-1,-1 1 0,-14 18-97,-5 19 30,33-65-60,0 0 0,-1 0 0,0 0 0,0 0 0,0 0 0,0 0-1,-1 1 1,0-1 0,0 0 0,-1-3 30,-2-8 36,0 1 1,-2-1-1,0 0-36,6 16 1,0 0 0,0 0 0,0 0 0,0 0 0,0 0 0,0 0 0,0 0 0,0 1 0,0-1 0,0 0 0,0 0 0,0 0 0,0 0 0,0 0 0,0 0 0,0 0 1,0 0-1,0 0 0,0 1 0,0-1 0,0 0 0,0 0 0,0 0 0,0 0 0,0 0 0,0 0 0,0 0 0,0 0 0,-1 0 0,1 0 0,0 0 0,0 0 0,0 0 0,0 0 1,0 1-1,0-1 0,0 0 0,0 0 0,0 0 0,0 0 0,-1 0 0,1 0 0,0 0 0,0 0 0,0 0 0,0 0 0,0 0 0,0 0 0,0 0 0,0 0 0,-1 0 0,1-1 1,0 1-1,0 0 0,0 0 0,0 0 0,0 0 0,0 0 0,0 0-1,-2 18-9,3 25 6,1-34 15,0-1-1,1 1 0,0-1 0,0 1 1,1-1-1,0 0 0,0 0 0,1-1 0,4 5-11,-7-9-3,0-1-1,0 0 0,0 0 0,1 0 0,-1 0 0,1-1 0,-1 1 0,1-1 0,-1 1 0,1-1 1,0 0-1,0 0 0,0 0 0,0 0 0,0-1 0,0 1 0,0-1 0,0 0 0,0 0 0,0 0 0,0 0 1,0 0-1,0-1 0,0 1 0,0-1 0,0 0 0,0 0 0,-1 0 0,1 0 0,0-1 4,51-24-1234,-1-6-4292,-19 9-1464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12:19.567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1 122 3938,'0'-5'1408,"0"5"-1510,0 0 1,0-1-1,0 1 0,-1 0 1,1-1-1,0 1 1,0 0-1,0 0 1,0-1-1,0 1 0,0 0 1,1-1-1,-1 1 1,0 0-1,0 0 1,0-1-1,0 1 0,0 0 1,0-1-1,0 1 1,1 0-1,-1 0 1,0-1-1,0 1 0,0 0 1,1 0-1,-1 0 1,0-1-1,0 1 1,0 0-1,1 0 0,-1 0 1,0 0-1,0-1 1,1 1-1,-1 0 1,0 0-1,1 0 102,4-6 5133,-3 4-2289,6 8-3218,-4-3 398,0 0-1,1 0 1,0 0-1,-1-1 1,1 0-1,0 0 0,0 0 1,0 0-1,0-1 1,4 1-24,57 7 139,-46-7-70,32 4 162,-10 0 201,1-2 0,0-2 0,0-1 0,0-2 0,39-7-432,25-5 214,9-2-64,-99 12-62,0-1 1,1-1-1,-2-1 0,1 0 0,6-4-88,-10 3 121,-16 8 26,-25 11 56,18-8-225,-7 1 29,0-1 0,0-1 0,0 0 0,0-2 0,-1 0 0,1 0 0,-16-3-7,1 2 9,-286 12-22,280-12-71,1 2 1,-1 2-1,0 1 1,1 2-1,0 2 0,-31 11 84,67-20-19,1 0 0,0 0 0,-1 0 0,1 1-1,-1-1 1,1 0 0,-1 0 0,1 0-1,-1 0 1,1 0 0,0 1 0,-1-1-1,1 0 1,-1 0 0,1 1 0,0-1-1,-1 0 1,1 0 0,0 1 0,-1-1-1,1 1 1,0-1 0,0 0 0,-1 1-1,1-1 1,0 0 0,0 1 0,0-1-1,-1 1 1,1-1 19,12 5-343,22-2 138,4-8 202,-1-1 0,25-8 3,7-2-13,351-81-520,-317 71-1682,-57 14-1040,-2-2-2318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56:14.44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10 467 10613,'-9'303'-1452,"10"-240"1093,3 0 0,3-1 0,9 35 359,-12-79-14,1-1 0,1 0 0,1-1-1,0 1 1,1-1 0,1 0 0,0 0 0,1-1 0,0-1 0,1 0 0,2 0 0,-1-2 0,0 1 0,3-1 0,-2-2 0,1 1 0,2-1-1,-2 0 1,2-2 0,2 1 14,6 2 108,1-1 0,0-1-1,1 0 1,0-3 0,1 0 0,0-1-1,-1-2 1,1-1 0,-1-1-1,2-1 1,-2-2 0,13-2-108,-12-2 151,-1 0 0,1-1 0,0-2 0,-2 0 0,1-3 0,-2 0 0,1-1 0,-2-1 0,0-2 0,-1-1 0,0 0 0,-1 0 0,-1-4 0,4-4-151,0-1 62,-3-2 1,0 0-1,-2-1 0,-2-1 0,1-1 0,-3 0 1,-1-1-1,-1-1 0,-2-1 0,-1 1 0,0-11-62,1-5 109,-3-2-1,-3 0 0,-1 0 1,-3-1-1,-2-3-108,0 25 16,-2-1 0,-1 2 1,-1-2-1,-1 2 0,-3-1 1,0 1-1,-1 1 0,-1 0 1,-6-6-17,9 19-8,0 0 0,-1 2 1,0-1-1,-3 1 0,2 0 0,-1 1 1,-1 0-1,-1 2 0,1-1 0,-1 1 1,-2 0-1,2 2 0,-1-1 0,-1 2 1,0 0-1,0 1 0,-1 1 0,0 1 1,0-1-1,0 2 0,0 1 0,0 0 1,-1 1-1,1 1 0,0 0 0,-1 1 1,1 1-1,0 0 0,0 2 0,0 0 1,-1 2 7,-18 7-43,1 0 1,1 3-1,1 1 0,0 2 1,1 1-1,2 1 1,-13 13 42,13-9-2738,3 2 0,-15 17 2738,-2 8-6568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09:56:15.512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198 370 8084,'-12'5'692,"1"0"1,-2 1 0,2-1-1,1 2 1,-10 7-693,15-11-18,1 1 0,0 1 0,0-1 0,0 0-1,1 2 1,0-1 0,0 0 0,0 0 0,1 1 0,-1-1 0,1-1-1,0 3 1,1-2 0,-1 2 18,-5 23-400,3 0-1,1 1 1,1-1-1,2 0 1,1 1-1,1-1 1,1 0-1,7 23 401,-3-23-397,1 0 0,1-1 0,1 1-1,2-3 1,1 1 0,10 17 397,-5-18 176,-1 0 0,3 0 0,-1-3 0,2 1 0,2-2 1,11 8-177,-15-13 321,1-2 0,1-1 0,0-2 0,2 1 0,0-2 0,1-1 0,-1-1 0,3-1-321,-7-3 215,2 1 0,-1-3 0,1-2 0,-2 2 1,2-2-1,0-1 0,-1-1 0,2-1 0,-2-1 1,8-3-216,-6 2 85,1-4 0,-1 1 0,0-1-1,-2-1 1,2-2 0,-1 0 0,-1-1 0,0-1 0,-1-1 0,0 0 0,-1-2 0,0 0 0,11-15-85,-10 9 17,-2 0 0,-1-1 0,-1-1 0,-1-1 0,0-1 0,-1 1 0,-2-1 0,-1-1 0,-1-1 0,-2 2 0,4-17-17,-4 4 59,-2-1 0,-1 1 0,-2-2 0,-1 1-1,-2 0 1,-2 0 0,-1 1 0,-2-2 0,-11-29-59,10 41 44,-2 0 0,0 1 0,-2 1 0,-2 1 0,0-1 0,-1 1 0,-1 1 0,-1 1 0,-1 0 0,-2 1 0,1 1 0,-3 1 0,-16-13-44,22 22 2,0 1 0,-1-1 0,0 4 0,-1-2 0,1 2 0,-2 1 0,2 0 0,-2 0 0,0 3 0,1 0 0,-2-1 0,1 2 0,0 1 0,-1 1 0,1 1 0,-1 0 1,2 1-1,-1 2 0,-16 3-2,4 2-19,0 0 1,1 3 0,-1 0-1,3 1 1,-1 2 0,1 1-1,0 2 1,2-1 0,1 3-1,0 0 1,-6 10 18,-4 6-665,2 1 1,2 1-1,-14 25 665,-33 66-5047,26-35-1625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10:46:53.966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 0 6419,'-2'1'2912,"8"0"-1168,19 3-736,36 2-1750,9-9-5653,-39-2 1449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10:48:00.742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6727 1935 8644,'-7'-15'2065,"1"2"32,0 4-1297,3 3-304,0 1-191,3 3-145,-3 2-176,3-5-176,0 5-129,0 0-1792,0 5-1696,0-3-4307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2-11T10:49:16.93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12 4 4274,'-12'1'6883,"32"0"-5861,35-1-1705,75-5 812,36 8-129,-16 0 159,51-5 30,193 3 22,-319 4-125,0 4-1,52 15-85,24 10 165,134 4-165,-213-29 23,9 8-23,-28-6 13,1-2-1,45-1-12,424-8 142,-315-18-126,108 6 13,-258 11-3,30 5-26,-34 0 25,47-6-25,-48-3-1,224-13-11,-272 18 12,415-11 13,-354 10 7,68 7-20,5 2 12,61 4-100,-46 1 96,7-4 488,-141-10-474,-1-2 0,1 1 0,-1-3-22,1 1-471,-7-4-5375,-6 2-1157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B3283-B931-4538-9A58-09B835B3E94E}">
  <sheetPr codeName="Sheet1"/>
  <dimension ref="A1:AC33"/>
  <sheetViews>
    <sheetView topLeftCell="C1" zoomScale="94" zoomScaleNormal="94" workbookViewId="0">
      <selection activeCell="L7" sqref="L7"/>
    </sheetView>
  </sheetViews>
  <sheetFormatPr defaultRowHeight="14.5" x14ac:dyDescent="0.35"/>
  <cols>
    <col min="1" max="1" width="21.1796875" customWidth="1"/>
  </cols>
  <sheetData>
    <row r="1" spans="1:29" x14ac:dyDescent="0.35">
      <c r="A1" t="s">
        <v>0</v>
      </c>
      <c r="B1">
        <v>4</v>
      </c>
      <c r="F1">
        <v>1</v>
      </c>
      <c r="I1">
        <v>123</v>
      </c>
      <c r="J1">
        <f>LEN(I1)</f>
        <v>3</v>
      </c>
      <c r="AB1" t="s">
        <v>63</v>
      </c>
      <c r="AC1" t="s">
        <v>64</v>
      </c>
    </row>
    <row r="2" spans="1:29" x14ac:dyDescent="0.35">
      <c r="A2" t="s">
        <v>1</v>
      </c>
      <c r="B2">
        <v>6</v>
      </c>
      <c r="F2">
        <v>2</v>
      </c>
      <c r="I2" t="s">
        <v>34</v>
      </c>
      <c r="J2">
        <f>LEN(I2)</f>
        <v>4</v>
      </c>
      <c r="N2">
        <v>54321</v>
      </c>
      <c r="O2">
        <v>5</v>
      </c>
      <c r="P2">
        <v>1</v>
      </c>
      <c r="AB2">
        <v>1</v>
      </c>
      <c r="AC2">
        <v>1</v>
      </c>
    </row>
    <row r="3" spans="1:29" x14ac:dyDescent="0.35">
      <c r="A3" t="s">
        <v>2</v>
      </c>
      <c r="B3">
        <v>1</v>
      </c>
      <c r="F3">
        <v>3</v>
      </c>
      <c r="O3">
        <v>2</v>
      </c>
      <c r="P3">
        <v>5</v>
      </c>
      <c r="Q3" t="s">
        <v>44</v>
      </c>
      <c r="Y3" t="s">
        <v>58</v>
      </c>
      <c r="AB3">
        <v>1</v>
      </c>
      <c r="AC3">
        <v>2</v>
      </c>
    </row>
    <row r="4" spans="1:29" x14ac:dyDescent="0.35">
      <c r="A4" t="s">
        <v>3</v>
      </c>
      <c r="B4">
        <v>2</v>
      </c>
      <c r="F4">
        <v>4</v>
      </c>
      <c r="Y4" t="s">
        <v>59</v>
      </c>
      <c r="AB4">
        <v>1</v>
      </c>
      <c r="AC4">
        <v>3</v>
      </c>
    </row>
    <row r="5" spans="1:29" x14ac:dyDescent="0.35">
      <c r="E5" t="s">
        <v>30</v>
      </c>
      <c r="F5">
        <v>5</v>
      </c>
      <c r="N5">
        <v>23415</v>
      </c>
      <c r="U5" t="s">
        <v>55</v>
      </c>
      <c r="V5" t="s">
        <v>56</v>
      </c>
      <c r="W5" t="s">
        <v>57</v>
      </c>
      <c r="X5" t="s">
        <v>53</v>
      </c>
      <c r="Y5" t="s">
        <v>60</v>
      </c>
      <c r="AB5">
        <v>1</v>
      </c>
      <c r="AC5">
        <v>4</v>
      </c>
    </row>
    <row r="6" spans="1:29" x14ac:dyDescent="0.35">
      <c r="E6" t="s">
        <v>31</v>
      </c>
      <c r="F6" t="s">
        <v>32</v>
      </c>
      <c r="O6" t="s">
        <v>47</v>
      </c>
      <c r="T6" t="s">
        <v>51</v>
      </c>
      <c r="Y6" t="s">
        <v>61</v>
      </c>
      <c r="AB6">
        <v>1</v>
      </c>
      <c r="AC6">
        <v>5</v>
      </c>
    </row>
    <row r="7" spans="1:29" x14ac:dyDescent="0.35">
      <c r="A7" t="s">
        <v>4</v>
      </c>
      <c r="F7" t="s">
        <v>33</v>
      </c>
      <c r="H7" s="1" t="s">
        <v>4</v>
      </c>
      <c r="J7" t="s">
        <v>35</v>
      </c>
      <c r="K7" t="str">
        <f>LEFT(J7,2)</f>
        <v>LE</v>
      </c>
      <c r="N7">
        <v>2</v>
      </c>
      <c r="O7" t="s">
        <v>39</v>
      </c>
      <c r="T7" t="s">
        <v>52</v>
      </c>
      <c r="Y7" t="s">
        <v>62</v>
      </c>
      <c r="AB7">
        <v>2</v>
      </c>
      <c r="AC7">
        <v>1</v>
      </c>
    </row>
    <row r="8" spans="1:29" x14ac:dyDescent="0.35">
      <c r="A8" t="s">
        <v>5</v>
      </c>
      <c r="D8" t="s">
        <v>8</v>
      </c>
      <c r="H8" t="s">
        <v>16</v>
      </c>
      <c r="J8" t="s">
        <v>36</v>
      </c>
      <c r="K8" t="str">
        <f>RIGHT(J8,2)</f>
        <v>HT</v>
      </c>
      <c r="N8">
        <v>3</v>
      </c>
      <c r="O8" t="s">
        <v>40</v>
      </c>
      <c r="T8" t="s">
        <v>53</v>
      </c>
      <c r="AB8">
        <v>2</v>
      </c>
      <c r="AC8">
        <v>2</v>
      </c>
    </row>
    <row r="9" spans="1:29" x14ac:dyDescent="0.35">
      <c r="A9" t="s">
        <v>6</v>
      </c>
      <c r="B9" t="s">
        <v>7</v>
      </c>
      <c r="D9" t="s">
        <v>9</v>
      </c>
      <c r="H9" t="s">
        <v>17</v>
      </c>
      <c r="J9" t="s">
        <v>38</v>
      </c>
      <c r="N9">
        <v>4</v>
      </c>
      <c r="O9" t="s">
        <v>41</v>
      </c>
      <c r="T9" t="s">
        <v>54</v>
      </c>
      <c r="AB9">
        <v>2</v>
      </c>
      <c r="AC9">
        <v>3</v>
      </c>
    </row>
    <row r="10" spans="1:29" x14ac:dyDescent="0.35">
      <c r="D10" t="s">
        <v>10</v>
      </c>
      <c r="J10" t="s">
        <v>37</v>
      </c>
      <c r="L10">
        <v>990</v>
      </c>
      <c r="N10">
        <v>1</v>
      </c>
      <c r="O10" t="s">
        <v>42</v>
      </c>
      <c r="AB10">
        <v>2</v>
      </c>
      <c r="AC10">
        <v>4</v>
      </c>
    </row>
    <row r="11" spans="1:29" x14ac:dyDescent="0.35">
      <c r="D11" t="s">
        <v>11</v>
      </c>
      <c r="E11" t="s">
        <v>12</v>
      </c>
      <c r="L11">
        <v>902</v>
      </c>
      <c r="N11">
        <v>5</v>
      </c>
      <c r="O11" t="s">
        <v>43</v>
      </c>
      <c r="AB11">
        <v>2</v>
      </c>
      <c r="AC11">
        <v>5</v>
      </c>
    </row>
    <row r="12" spans="1:29" x14ac:dyDescent="0.35">
      <c r="V12">
        <v>34</v>
      </c>
      <c r="W12">
        <v>3</v>
      </c>
      <c r="X12">
        <f>W12^2</f>
        <v>9</v>
      </c>
      <c r="AB12">
        <v>3</v>
      </c>
      <c r="AC12">
        <v>1</v>
      </c>
    </row>
    <row r="13" spans="1:29" x14ac:dyDescent="0.35">
      <c r="A13" t="s">
        <v>13</v>
      </c>
      <c r="D13" t="s">
        <v>18</v>
      </c>
      <c r="E13" t="s">
        <v>19</v>
      </c>
      <c r="G13" t="s">
        <v>23</v>
      </c>
      <c r="H13" t="s">
        <v>29</v>
      </c>
      <c r="K13">
        <v>12345</v>
      </c>
      <c r="O13" t="s">
        <v>45</v>
      </c>
      <c r="W13">
        <v>4</v>
      </c>
      <c r="X13">
        <f>W13^2</f>
        <v>16</v>
      </c>
      <c r="AA13">
        <f>SQRT(12)</f>
        <v>3.4641016151377544</v>
      </c>
      <c r="AB13">
        <v>3</v>
      </c>
      <c r="AC13">
        <v>2</v>
      </c>
    </row>
    <row r="14" spans="1:29" x14ac:dyDescent="0.35">
      <c r="A14" t="s">
        <v>14</v>
      </c>
      <c r="E14" t="s">
        <v>20</v>
      </c>
      <c r="G14" t="s">
        <v>24</v>
      </c>
      <c r="O14" t="s">
        <v>46</v>
      </c>
      <c r="X14">
        <f>SUM(X12:X13)</f>
        <v>25</v>
      </c>
      <c r="AA14" t="s">
        <v>65</v>
      </c>
      <c r="AB14">
        <v>3</v>
      </c>
      <c r="AC14">
        <v>3</v>
      </c>
    </row>
    <row r="15" spans="1:29" x14ac:dyDescent="0.35">
      <c r="A15" t="s">
        <v>15</v>
      </c>
      <c r="G15" t="s">
        <v>20</v>
      </c>
      <c r="H15" t="s">
        <v>26</v>
      </c>
      <c r="AB15">
        <v>3</v>
      </c>
      <c r="AC15">
        <v>4</v>
      </c>
    </row>
    <row r="16" spans="1:29" x14ac:dyDescent="0.35">
      <c r="D16" t="s">
        <v>18</v>
      </c>
      <c r="E16" t="s">
        <v>21</v>
      </c>
      <c r="G16" t="s">
        <v>27</v>
      </c>
      <c r="N16" t="s">
        <v>48</v>
      </c>
      <c r="Z16" t="s">
        <v>66</v>
      </c>
      <c r="AB16">
        <v>3</v>
      </c>
      <c r="AC16">
        <v>5</v>
      </c>
    </row>
    <row r="17" spans="5:27" x14ac:dyDescent="0.35">
      <c r="E17" t="s">
        <v>22</v>
      </c>
      <c r="G17" t="s">
        <v>25</v>
      </c>
      <c r="N17" t="s">
        <v>49</v>
      </c>
      <c r="V17">
        <v>153</v>
      </c>
      <c r="W17">
        <v>1</v>
      </c>
      <c r="X17">
        <f>W17^3</f>
        <v>1</v>
      </c>
      <c r="Z17">
        <v>1</v>
      </c>
      <c r="AA17" t="s">
        <v>67</v>
      </c>
    </row>
    <row r="18" spans="5:27" x14ac:dyDescent="0.35">
      <c r="G18" t="s">
        <v>28</v>
      </c>
      <c r="N18" t="s">
        <v>50</v>
      </c>
      <c r="W18">
        <v>5</v>
      </c>
      <c r="X18">
        <f t="shared" ref="X18:X19" si="0">W18^3</f>
        <v>125</v>
      </c>
      <c r="Z18">
        <v>2</v>
      </c>
    </row>
    <row r="19" spans="5:27" x14ac:dyDescent="0.35">
      <c r="W19">
        <v>3</v>
      </c>
      <c r="X19">
        <f t="shared" si="0"/>
        <v>27</v>
      </c>
      <c r="Z19">
        <v>3</v>
      </c>
    </row>
    <row r="20" spans="5:27" x14ac:dyDescent="0.35">
      <c r="X20">
        <f>SUM(X17:X19)</f>
        <v>153</v>
      </c>
      <c r="AA20" t="s">
        <v>68</v>
      </c>
    </row>
    <row r="23" spans="5:27" x14ac:dyDescent="0.35">
      <c r="V23" t="s">
        <v>69</v>
      </c>
    </row>
    <row r="24" spans="5:27" x14ac:dyDescent="0.35">
      <c r="V24" t="s">
        <v>70</v>
      </c>
    </row>
    <row r="25" spans="5:27" x14ac:dyDescent="0.35">
      <c r="V25" t="s">
        <v>71</v>
      </c>
    </row>
    <row r="26" spans="5:27" x14ac:dyDescent="0.35">
      <c r="V26" t="s">
        <v>72</v>
      </c>
    </row>
    <row r="27" spans="5:27" x14ac:dyDescent="0.35">
      <c r="V27" t="s">
        <v>73</v>
      </c>
    </row>
    <row r="28" spans="5:27" x14ac:dyDescent="0.35">
      <c r="V28" t="s">
        <v>74</v>
      </c>
    </row>
    <row r="29" spans="5:27" x14ac:dyDescent="0.35">
      <c r="V29" t="s">
        <v>75</v>
      </c>
    </row>
    <row r="30" spans="5:27" x14ac:dyDescent="0.35">
      <c r="V30" t="s">
        <v>76</v>
      </c>
    </row>
    <row r="31" spans="5:27" x14ac:dyDescent="0.35">
      <c r="V31" t="s">
        <v>77</v>
      </c>
    </row>
    <row r="32" spans="5:27" x14ac:dyDescent="0.35">
      <c r="V32" t="s">
        <v>78</v>
      </c>
    </row>
    <row r="33" spans="22:22" x14ac:dyDescent="0.35">
      <c r="V33" t="s">
        <v>79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25095-C8B4-4D14-A19C-DBEDE4B5D550}">
  <sheetPr codeName="Sheet2"/>
  <dimension ref="A1:J43"/>
  <sheetViews>
    <sheetView showGridLines="0" tabSelected="1" workbookViewId="0">
      <selection activeCell="H12" sqref="H12:J12"/>
    </sheetView>
  </sheetViews>
  <sheetFormatPr defaultRowHeight="14.5" x14ac:dyDescent="0.35"/>
  <sheetData>
    <row r="1" spans="1:10" x14ac:dyDescent="0.35">
      <c r="A1" s="2" t="s">
        <v>108</v>
      </c>
      <c r="B1" s="2"/>
      <c r="C1" s="2"/>
      <c r="D1" s="2"/>
      <c r="E1" s="2"/>
    </row>
    <row r="3" spans="1:10" x14ac:dyDescent="0.35">
      <c r="A3" s="3" t="s">
        <v>80</v>
      </c>
      <c r="B3" s="3"/>
      <c r="C3" s="3"/>
      <c r="D3" s="3"/>
      <c r="E3" s="3"/>
    </row>
    <row r="4" spans="1:10" x14ac:dyDescent="0.35">
      <c r="A4" s="3" t="s">
        <v>81</v>
      </c>
      <c r="B4" s="3"/>
      <c r="C4" s="3"/>
      <c r="D4" s="3"/>
      <c r="E4" s="3"/>
    </row>
    <row r="5" spans="1:10" x14ac:dyDescent="0.35">
      <c r="A5" s="3" t="s">
        <v>82</v>
      </c>
      <c r="B5" s="3"/>
      <c r="C5" s="3"/>
      <c r="D5" s="3"/>
      <c r="E5" s="3"/>
    </row>
    <row r="6" spans="1:10" x14ac:dyDescent="0.35">
      <c r="A6" s="3" t="s">
        <v>83</v>
      </c>
      <c r="B6" s="3"/>
      <c r="C6" s="3"/>
      <c r="D6" s="3"/>
      <c r="E6" s="3"/>
    </row>
    <row r="7" spans="1:10" x14ac:dyDescent="0.35">
      <c r="A7" s="3" t="s">
        <v>84</v>
      </c>
      <c r="B7" s="3"/>
      <c r="C7" s="3"/>
      <c r="D7" s="3"/>
      <c r="E7" s="3"/>
    </row>
    <row r="8" spans="1:10" x14ac:dyDescent="0.35">
      <c r="A8" s="3" t="s">
        <v>85</v>
      </c>
      <c r="B8" s="3"/>
      <c r="C8" s="3"/>
      <c r="D8" s="3"/>
      <c r="E8" s="3"/>
    </row>
    <row r="9" spans="1:10" x14ac:dyDescent="0.35">
      <c r="A9" s="3" t="s">
        <v>86</v>
      </c>
      <c r="B9" s="3"/>
      <c r="C9" s="3"/>
      <c r="D9" s="3"/>
      <c r="E9" s="3"/>
    </row>
    <row r="10" spans="1:10" x14ac:dyDescent="0.35">
      <c r="A10" s="3" t="s">
        <v>87</v>
      </c>
      <c r="B10" s="3"/>
      <c r="C10" s="3"/>
      <c r="D10" s="3"/>
      <c r="E10" s="3"/>
    </row>
    <row r="11" spans="1:10" ht="18.5" x14ac:dyDescent="0.45">
      <c r="A11" s="3"/>
      <c r="B11" s="3"/>
      <c r="C11" s="3"/>
      <c r="D11" s="3"/>
      <c r="E11" s="3"/>
      <c r="H11" s="5" t="s">
        <v>111</v>
      </c>
      <c r="I11" s="6"/>
      <c r="J11" s="6"/>
    </row>
    <row r="12" spans="1:10" ht="26" x14ac:dyDescent="0.6">
      <c r="A12" s="3" t="s">
        <v>88</v>
      </c>
      <c r="B12" s="3"/>
      <c r="C12" s="3"/>
      <c r="D12" s="3"/>
      <c r="E12" s="3"/>
      <c r="H12" s="7" t="s">
        <v>110</v>
      </c>
      <c r="I12" s="7"/>
      <c r="J12" s="4"/>
    </row>
    <row r="13" spans="1:10" x14ac:dyDescent="0.35">
      <c r="A13" s="3"/>
      <c r="B13" s="3"/>
      <c r="C13" s="3"/>
      <c r="D13" s="3"/>
      <c r="E13" s="3"/>
    </row>
    <row r="18" spans="1:10" x14ac:dyDescent="0.35">
      <c r="A18" s="2" t="s">
        <v>109</v>
      </c>
      <c r="B18" s="2"/>
      <c r="C18" s="2"/>
      <c r="D18" s="2"/>
      <c r="E18" s="2"/>
      <c r="F18" s="2"/>
      <c r="G18" s="2"/>
      <c r="H18" s="2"/>
      <c r="I18" s="2"/>
      <c r="J18" s="2"/>
    </row>
    <row r="19" spans="1:10" x14ac:dyDescent="0.35">
      <c r="A19" s="2" t="s">
        <v>89</v>
      </c>
      <c r="B19" s="2"/>
      <c r="C19" s="2"/>
    </row>
    <row r="20" spans="1:10" x14ac:dyDescent="0.35">
      <c r="A20" s="2" t="s">
        <v>90</v>
      </c>
      <c r="B20" s="2"/>
      <c r="C20" s="2"/>
    </row>
    <row r="21" spans="1:10" x14ac:dyDescent="0.35">
      <c r="A21" s="2" t="s">
        <v>91</v>
      </c>
      <c r="B21" s="2"/>
      <c r="C21" s="2"/>
    </row>
    <row r="23" spans="1:10" x14ac:dyDescent="0.35">
      <c r="A23" s="3" t="s">
        <v>92</v>
      </c>
      <c r="B23" s="3"/>
      <c r="C23" s="3"/>
      <c r="D23" s="3"/>
      <c r="E23" s="3"/>
      <c r="F23" s="3"/>
      <c r="G23" s="3"/>
      <c r="H23" s="3"/>
    </row>
    <row r="24" spans="1:10" x14ac:dyDescent="0.35">
      <c r="A24" s="3" t="s">
        <v>93</v>
      </c>
      <c r="B24" s="3"/>
      <c r="C24" s="3"/>
      <c r="D24" s="3"/>
      <c r="E24" s="3"/>
      <c r="F24" s="3"/>
      <c r="G24" s="3"/>
      <c r="H24" s="3"/>
    </row>
    <row r="25" spans="1:10" x14ac:dyDescent="0.35">
      <c r="A25" s="3" t="s">
        <v>94</v>
      </c>
      <c r="B25" s="3"/>
      <c r="C25" s="3"/>
      <c r="D25" s="3"/>
      <c r="E25" s="3"/>
      <c r="F25" s="3"/>
      <c r="G25" s="3"/>
      <c r="H25" s="3"/>
    </row>
    <row r="26" spans="1:10" x14ac:dyDescent="0.35">
      <c r="A26" s="3" t="s">
        <v>95</v>
      </c>
      <c r="B26" s="3"/>
      <c r="C26" s="3"/>
      <c r="D26" s="3"/>
      <c r="E26" s="3"/>
      <c r="F26" s="3"/>
      <c r="G26" s="3"/>
      <c r="H26" s="3"/>
    </row>
    <row r="27" spans="1:10" x14ac:dyDescent="0.35">
      <c r="A27" s="3" t="s">
        <v>96</v>
      </c>
      <c r="B27" s="3"/>
      <c r="C27" s="3"/>
      <c r="D27" s="3"/>
      <c r="E27" s="3"/>
      <c r="F27" s="3"/>
      <c r="G27" s="3"/>
      <c r="H27" s="3"/>
    </row>
    <row r="28" spans="1:10" x14ac:dyDescent="0.35">
      <c r="A28" s="3" t="s">
        <v>97</v>
      </c>
      <c r="B28" s="3"/>
      <c r="C28" s="3"/>
      <c r="D28" s="3"/>
      <c r="E28" s="3"/>
      <c r="F28" s="3"/>
      <c r="G28" s="3"/>
      <c r="H28" s="3"/>
    </row>
    <row r="29" spans="1:10" x14ac:dyDescent="0.35">
      <c r="A29" s="3" t="s">
        <v>98</v>
      </c>
      <c r="B29" s="3"/>
      <c r="C29" s="3"/>
      <c r="D29" s="3"/>
      <c r="E29" s="3"/>
      <c r="F29" s="3"/>
      <c r="G29" s="3"/>
      <c r="H29" s="3"/>
    </row>
    <row r="30" spans="1:10" x14ac:dyDescent="0.35">
      <c r="A30" s="3" t="s">
        <v>99</v>
      </c>
      <c r="B30" s="3"/>
      <c r="C30" s="3"/>
      <c r="D30" s="3"/>
      <c r="E30" s="3"/>
      <c r="F30" s="3"/>
      <c r="G30" s="3"/>
      <c r="H30" s="3"/>
    </row>
    <row r="31" spans="1:10" x14ac:dyDescent="0.35">
      <c r="A31" s="3" t="s">
        <v>100</v>
      </c>
      <c r="B31" s="3"/>
      <c r="C31" s="3"/>
      <c r="D31" s="3"/>
      <c r="E31" s="3"/>
      <c r="F31" s="3"/>
      <c r="G31" s="3"/>
      <c r="H31" s="3"/>
    </row>
    <row r="32" spans="1:10" x14ac:dyDescent="0.35">
      <c r="A32" s="3" t="s">
        <v>101</v>
      </c>
      <c r="B32" s="3"/>
      <c r="C32" s="3"/>
      <c r="D32" s="3"/>
      <c r="E32" s="3"/>
      <c r="F32" s="3"/>
      <c r="G32" s="3"/>
      <c r="H32" s="3"/>
    </row>
    <row r="33" spans="1:8" x14ac:dyDescent="0.35">
      <c r="A33" s="3" t="s">
        <v>102</v>
      </c>
      <c r="B33" s="3"/>
      <c r="C33" s="3"/>
      <c r="D33" s="3"/>
      <c r="E33" s="3"/>
      <c r="F33" s="3"/>
      <c r="G33" s="3"/>
      <c r="H33" s="3"/>
    </row>
    <row r="34" spans="1:8" x14ac:dyDescent="0.35">
      <c r="A34" s="3" t="s">
        <v>103</v>
      </c>
      <c r="B34" s="3"/>
      <c r="C34" s="3"/>
      <c r="D34" s="3"/>
      <c r="E34" s="3"/>
      <c r="F34" s="3"/>
      <c r="G34" s="3"/>
      <c r="H34" s="3"/>
    </row>
    <row r="35" spans="1:8" x14ac:dyDescent="0.35">
      <c r="A35" s="3" t="s">
        <v>104</v>
      </c>
      <c r="B35" s="3"/>
      <c r="C35" s="3"/>
      <c r="D35" s="3"/>
      <c r="E35" s="3"/>
      <c r="F35" s="3"/>
      <c r="G35" s="3"/>
      <c r="H35" s="3"/>
    </row>
    <row r="36" spans="1:8" x14ac:dyDescent="0.35">
      <c r="A36" s="3" t="s">
        <v>105</v>
      </c>
      <c r="B36" s="3"/>
      <c r="C36" s="3"/>
      <c r="D36" s="3"/>
      <c r="E36" s="3"/>
      <c r="F36" s="3"/>
      <c r="G36" s="3"/>
      <c r="H36" s="3"/>
    </row>
    <row r="37" spans="1:8" x14ac:dyDescent="0.35">
      <c r="A37" s="3" t="s">
        <v>86</v>
      </c>
      <c r="B37" s="3"/>
      <c r="C37" s="3"/>
      <c r="D37" s="3"/>
      <c r="E37" s="3"/>
      <c r="F37" s="3"/>
      <c r="G37" s="3"/>
      <c r="H37" s="3"/>
    </row>
    <row r="38" spans="1:8" x14ac:dyDescent="0.35">
      <c r="A38" s="3"/>
      <c r="B38" s="3"/>
      <c r="C38" s="3"/>
      <c r="D38" s="3"/>
      <c r="E38" s="3"/>
      <c r="F38" s="3"/>
      <c r="G38" s="3"/>
      <c r="H38" s="3"/>
    </row>
    <row r="39" spans="1:8" x14ac:dyDescent="0.35">
      <c r="A39" s="3" t="s">
        <v>106</v>
      </c>
      <c r="B39" s="3"/>
      <c r="C39" s="3"/>
      <c r="D39" s="3"/>
      <c r="E39" s="3"/>
      <c r="F39" s="3"/>
      <c r="G39" s="3"/>
      <c r="H39" s="3"/>
    </row>
    <row r="40" spans="1:8" x14ac:dyDescent="0.35">
      <c r="A40" s="3" t="s">
        <v>107</v>
      </c>
      <c r="B40" s="3"/>
      <c r="C40" s="3"/>
      <c r="D40" s="3"/>
      <c r="E40" s="3"/>
      <c r="F40" s="3"/>
      <c r="G40" s="3"/>
      <c r="H40" s="3"/>
    </row>
    <row r="41" spans="1:8" x14ac:dyDescent="0.35">
      <c r="A41" s="3"/>
      <c r="B41" s="3"/>
      <c r="C41" s="3"/>
      <c r="D41" s="3"/>
      <c r="E41" s="3"/>
      <c r="F41" s="3"/>
      <c r="G41" s="3"/>
      <c r="H41" s="3"/>
    </row>
    <row r="42" spans="1:8" x14ac:dyDescent="0.35">
      <c r="A42" s="3"/>
      <c r="B42" s="3"/>
      <c r="C42" s="3"/>
      <c r="D42" s="3"/>
      <c r="E42" s="3"/>
      <c r="F42" s="3"/>
      <c r="G42" s="3"/>
      <c r="H42" s="3"/>
    </row>
    <row r="43" spans="1:8" x14ac:dyDescent="0.35">
      <c r="A43" s="3" t="s">
        <v>88</v>
      </c>
      <c r="B43" s="3"/>
      <c r="C43" s="3"/>
      <c r="D43" s="3"/>
      <c r="E43" s="3"/>
      <c r="F43" s="3"/>
      <c r="G43" s="3"/>
      <c r="H4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92555-265E-4361-A702-CD71373843D0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Eeshani ma'am</vt:lpstr>
      <vt:lpstr>Self practice</vt:lpstr>
      <vt:lpstr>Re- self-practice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Eeshani</dc:creator>
  <cp:lastModifiedBy>HP</cp:lastModifiedBy>
  <dcterms:created xsi:type="dcterms:W3CDTF">2020-01-21T08:56:35Z</dcterms:created>
  <dcterms:modified xsi:type="dcterms:W3CDTF">2020-02-12T13:26:02Z</dcterms:modified>
</cp:coreProperties>
</file>